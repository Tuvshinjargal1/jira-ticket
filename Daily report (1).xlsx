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mc:AlternateContent xmlns:mc="http://schemas.openxmlformats.org/markup-compatibility/2006">
    <mc:Choice Requires="x15">
      <x15ac:absPath xmlns:x15ac="http://schemas.microsoft.com/office/spreadsheetml/2010/11/ac" url="https://zerotechmn-my.sharepoint.com/personal/khulan_zerotech_mn/Documents/Ticket daily report/"/>
    </mc:Choice>
  </mc:AlternateContent>
  <xr:revisionPtr revIDLastSave="0" documentId="8_{B472E0B3-B0EF-45D3-84C6-F507440891A8}" xr6:coauthVersionLast="47" xr6:coauthVersionMax="47" xr10:uidLastSave="{00000000-0000-0000-0000-000000000000}"/>
  <bookViews>
    <workbookView xWindow="-120" yWindow="-120" windowWidth="29040" windowHeight="15720" firstSheet="66" activeTab="66" xr2:uid="{B9A3A09F-A234-43A9-90FD-80289E97594C}"/>
  </bookViews>
  <sheets>
    <sheet name="0311" sheetId="1" r:id="rId1"/>
    <sheet name="0312" sheetId="2" r:id="rId2"/>
    <sheet name="0313" sheetId="3" r:id="rId3"/>
    <sheet name="0316" sheetId="4" r:id="rId4"/>
    <sheet name="0317" sheetId="5" r:id="rId5"/>
    <sheet name="0318" sheetId="6" r:id="rId6"/>
    <sheet name="0319" sheetId="7" r:id="rId7"/>
    <sheet name="0320" sheetId="8" r:id="rId8"/>
    <sheet name="0323" sheetId="9" r:id="rId9"/>
    <sheet name="0324" sheetId="10" r:id="rId10"/>
    <sheet name="0325" sheetId="11" r:id="rId11"/>
    <sheet name="0326" sheetId="12" r:id="rId12"/>
    <sheet name="0327" sheetId="13" r:id="rId13"/>
    <sheet name="0330" sheetId="14" r:id="rId14"/>
    <sheet name="0331" sheetId="15" r:id="rId15"/>
    <sheet name="0401" sheetId="16" r:id="rId16"/>
    <sheet name="0402" sheetId="17" r:id="rId17"/>
    <sheet name="0403" sheetId="18" r:id="rId18"/>
    <sheet name="0406" sheetId="19" r:id="rId19"/>
    <sheet name="0407" sheetId="20" r:id="rId20"/>
    <sheet name="0408" sheetId="21" r:id="rId21"/>
    <sheet name="0409" sheetId="22" r:id="rId22"/>
    <sheet name="0410 " sheetId="23" r:id="rId23"/>
    <sheet name="0413" sheetId="24" r:id="rId24"/>
    <sheet name="0414" sheetId="25" r:id="rId25"/>
    <sheet name="0415" sheetId="26" r:id="rId26"/>
    <sheet name="0416" sheetId="27" r:id="rId27"/>
    <sheet name="0417" sheetId="28" r:id="rId28"/>
    <sheet name="0420" sheetId="29" r:id="rId29"/>
    <sheet name="0421" sheetId="30" r:id="rId30"/>
    <sheet name="0422" sheetId="31" r:id="rId31"/>
    <sheet name="0423" sheetId="32" r:id="rId32"/>
    <sheet name="0424" sheetId="33" r:id="rId33"/>
    <sheet name="0427" sheetId="34" r:id="rId34"/>
    <sheet name="0428" sheetId="35" r:id="rId35"/>
    <sheet name="0429" sheetId="36" r:id="rId36"/>
    <sheet name="0430" sheetId="37" r:id="rId37"/>
    <sheet name="0501" sheetId="38" r:id="rId38"/>
    <sheet name="0504" sheetId="39" r:id="rId39"/>
    <sheet name="0505" sheetId="40" r:id="rId40"/>
    <sheet name="0506" sheetId="41" r:id="rId41"/>
    <sheet name="0507" sheetId="42" r:id="rId42"/>
    <sheet name="0508" sheetId="43" r:id="rId43"/>
    <sheet name="0511" sheetId="44" r:id="rId44"/>
    <sheet name="0512" sheetId="46" r:id="rId45"/>
    <sheet name="0513" sheetId="45" r:id="rId46"/>
    <sheet name="0515" sheetId="48" r:id="rId47"/>
    <sheet name="0514" sheetId="47" r:id="rId48"/>
    <sheet name="0518" sheetId="49" r:id="rId49"/>
    <sheet name="0519" sheetId="50" r:id="rId50"/>
    <sheet name="0520" sheetId="51" r:id="rId51"/>
    <sheet name="0521" sheetId="52" r:id="rId52"/>
    <sheet name="0522" sheetId="53" r:id="rId53"/>
    <sheet name="0525" sheetId="54" r:id="rId54"/>
    <sheet name="0526" sheetId="55" r:id="rId55"/>
    <sheet name="0527" sheetId="56" r:id="rId56"/>
    <sheet name="0528" sheetId="57" r:id="rId57"/>
    <sheet name="0529" sheetId="58" r:id="rId58"/>
    <sheet name="0602" sheetId="59" r:id="rId59"/>
    <sheet name="0603" sheetId="60" r:id="rId60"/>
    <sheet name="0604" sheetId="61" r:id="rId61"/>
    <sheet name="0605" sheetId="62" r:id="rId62"/>
    <sheet name="0608" sheetId="63" r:id="rId63"/>
    <sheet name="0609" sheetId="64" r:id="rId64"/>
    <sheet name="0610" sheetId="65" r:id="rId65"/>
    <sheet name="0611" sheetId="66" r:id="rId66"/>
    <sheet name="0612" sheetId="67" r:id="rId6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0" i="6" l="1"/>
  <c r="J9" i="6"/>
  <c r="J3" i="6"/>
</calcChain>
</file>

<file path=xl/sharedStrings.xml><?xml version="1.0" encoding="utf-8"?>
<sst xmlns="http://schemas.openxmlformats.org/spreadsheetml/2006/main" count="3241" uniqueCount="588">
  <si>
    <t>Day</t>
  </si>
  <si>
    <t>Ticket types</t>
  </si>
  <si>
    <t xml:space="preserve">Comment </t>
  </si>
  <si>
    <t xml:space="preserve">Closed ticket </t>
  </si>
  <si>
    <r>
      <rPr>
        <b/>
        <sz val="11"/>
        <color theme="1"/>
        <rFont val="Aptos Narrow"/>
        <family val="2"/>
        <scheme val="minor"/>
      </rPr>
      <t>DC-377</t>
    </r>
    <r>
      <rPr>
        <sz val="11"/>
        <color theme="1"/>
        <rFont val="Aptos Narrow"/>
        <family val="2"/>
        <scheme val="minor"/>
      </rPr>
      <t xml:space="preserve"> Excel-с устгал бүртгэхтэй холбоотой хөгжүүлэлтээс үүдэн гараас бүртгэх функц кодны хэмжээнд хязгаарлагдсанг зассан</t>
    </r>
  </si>
  <si>
    <t>New ticket</t>
  </si>
  <si>
    <r>
      <rPr>
        <b/>
        <sz val="11"/>
        <color theme="1"/>
        <rFont val="Aptos Narrow"/>
        <family val="2"/>
        <scheme val="minor"/>
      </rPr>
      <t xml:space="preserve">DC-381 </t>
    </r>
    <r>
      <rPr>
        <sz val="11"/>
        <color theme="1"/>
        <rFont val="Aptos Narrow"/>
        <family val="2"/>
        <scheme val="minor"/>
      </rPr>
      <t>V1293 салбарын тооллого SMS үлдэгдэлд давхардан нөлөөлсөн, Шалгуулах хүсэлт GP team рүү өгсөн.</t>
    </r>
  </si>
  <si>
    <t>Open ticket progress</t>
  </si>
  <si>
    <r>
      <rPr>
        <b/>
        <sz val="11"/>
        <color theme="1"/>
        <rFont val="Aptos Narrow"/>
        <family val="2"/>
        <scheme val="minor"/>
      </rPr>
      <t>DC-371</t>
    </r>
    <r>
      <rPr>
        <sz val="11"/>
        <color theme="1"/>
        <rFont val="Aptos Narrow"/>
        <family val="2"/>
        <scheme val="minor"/>
      </rPr>
      <t xml:space="preserve"> GP sales aggregator дээр алдаа гарсан ба алдааг GSRтай хамтран шалгаж байгаа </t>
    </r>
  </si>
  <si>
    <r>
      <rPr>
        <b/>
        <sz val="11"/>
        <color theme="1"/>
        <rFont val="Aptos Narrow"/>
        <family val="2"/>
        <scheme val="minor"/>
      </rPr>
      <t>TFT-315</t>
    </r>
    <r>
      <rPr>
        <sz val="11"/>
        <color theme="1"/>
        <rFont val="Aptos Narrow"/>
        <family val="2"/>
        <scheme val="minor"/>
      </rPr>
      <t xml:space="preserve"> DC-с хөгжүүлэлтийн шаардлага ирсэн. GP teamд шаардлагатай танилцах хүсэлт хүргүүлсэн</t>
    </r>
  </si>
  <si>
    <r>
      <rPr>
        <b/>
        <sz val="11"/>
        <color theme="1"/>
        <rFont val="Aptos Narrow"/>
        <family val="2"/>
        <scheme val="minor"/>
      </rPr>
      <t>TFT-345</t>
    </r>
    <r>
      <rPr>
        <sz val="11"/>
        <color theme="1"/>
        <rFont val="Aptos Narrow"/>
        <family val="2"/>
        <scheme val="minor"/>
      </rPr>
      <t xml:space="preserve"> No update</t>
    </r>
  </si>
  <si>
    <r>
      <rPr>
        <b/>
        <sz val="11"/>
        <color theme="1"/>
        <rFont val="Aptos Narrow"/>
        <family val="2"/>
        <scheme val="minor"/>
      </rPr>
      <t>TFT-236</t>
    </r>
    <r>
      <rPr>
        <sz val="11"/>
        <color theme="1"/>
        <rFont val="Aptos Narrow"/>
        <family val="2"/>
        <scheme val="minor"/>
      </rPr>
      <t xml:space="preserve"> Тус ажил хийгдэхэд ажлын 5 өдөр болно. 03/11ний өдрөөс тус ажлыг хийхээр эхлүүлсэн гэх хариу GP team өгсөн</t>
    </r>
  </si>
  <si>
    <r>
      <rPr>
        <b/>
        <sz val="11"/>
        <color theme="1"/>
        <rFont val="Aptos Narrow"/>
        <family val="2"/>
        <scheme val="minor"/>
      </rPr>
      <t>TFT-194</t>
    </r>
    <r>
      <rPr>
        <sz val="11"/>
        <color theme="1"/>
        <rFont val="Aptos Narrow"/>
        <family val="2"/>
        <scheme val="minor"/>
      </rPr>
      <t xml:space="preserve"> No update </t>
    </r>
  </si>
  <si>
    <t>Reopened</t>
  </si>
  <si>
    <r>
      <rPr>
        <b/>
        <sz val="11"/>
        <color theme="1"/>
        <rFont val="Aptos Narrow"/>
        <family val="2"/>
        <scheme val="minor"/>
      </rPr>
      <t>TFT-164</t>
    </r>
    <r>
      <rPr>
        <sz val="11"/>
        <color theme="1"/>
        <rFont val="Aptos Narrow"/>
        <family val="2"/>
        <scheme val="minor"/>
      </rPr>
      <t xml:space="preserve"> салбарын устгал үлдэгдэлд нөлөөлөөгүй гэх асуудалаар нээгдсэн DC-с мэдээлэл дутуу ирсэн тул тодруулга хүссэн хариу хүлээж байна. </t>
    </r>
  </si>
  <si>
    <t>Total ticket</t>
  </si>
  <si>
    <t xml:space="preserve">Ticket name </t>
  </si>
  <si>
    <t>Request type</t>
  </si>
  <si>
    <t xml:space="preserve">Current status </t>
  </si>
  <si>
    <t>Resolved issue</t>
  </si>
  <si>
    <t>IT-3; TFT-11</t>
  </si>
  <si>
    <r>
      <rPr>
        <b/>
        <sz val="11"/>
        <color rgb="FF292A2E"/>
        <rFont val="Aptos Narrow"/>
        <family val="2"/>
        <scheme val="minor"/>
      </rPr>
      <t>DC-377</t>
    </r>
    <r>
      <rPr>
        <sz val="11"/>
        <color rgb="FF292A2E"/>
        <rFont val="Aptos Narrow"/>
        <family val="2"/>
        <scheme val="minor"/>
      </rPr>
      <t xml:space="preserve"> Устгалаа sms системд гараас бүртгэхэд зөвхөн нэг мөр бараа бүртгэж болж байгаа тул шалгаж өгнө үү</t>
    </r>
  </si>
  <si>
    <t>Доголдол                                             High</t>
  </si>
  <si>
    <t>DC-377 Excel-с устгал бүртгэхтэй холбоотой хөгжүүлэлтээс үүдэн гараас бүртгэх функц кодны хэмжээнд хязгаарлагдсанг зассан</t>
  </si>
  <si>
    <t xml:space="preserve">New ticket </t>
  </si>
  <si>
    <r>
      <rPr>
        <b/>
        <sz val="11"/>
        <color theme="1"/>
        <rFont val="Aptos Narrow"/>
        <family val="2"/>
        <scheme val="minor"/>
      </rPr>
      <t>DC-381</t>
    </r>
    <r>
      <rPr>
        <sz val="11"/>
        <color theme="1"/>
        <rFont val="Aptos Narrow"/>
        <family val="2"/>
        <scheme val="minor"/>
      </rPr>
      <t xml:space="preserve"> 2026.02.08-2026.02.09-нд шилжих шөнө тоологдсон V1293 Режис салбарын тооллогын үр дүн SMS системд давхардаж орж ирсэн тул шалгаж өгнө үү. </t>
    </r>
  </si>
  <si>
    <t xml:space="preserve">Доголдол                                             Medium </t>
  </si>
  <si>
    <r>
      <t xml:space="preserve">Тухайн асуудлын хүрээнд </t>
    </r>
    <r>
      <rPr>
        <sz val="11"/>
        <color rgb="FF1868DB"/>
        <rFont val="Segoe UI"/>
        <family val="2"/>
      </rPr>
      <t>DC-333: EZ Store-н Admin panel-аас тооллогын дугаарыг нэг л удаа илгээх сайжруулалтын хүсэлт</t>
    </r>
    <r>
      <rPr>
        <sz val="8"/>
        <color rgb="FF292A2E"/>
        <rFont val="Segoe UI"/>
        <family val="2"/>
      </rPr>
      <t>Resolved</t>
    </r>
    <r>
      <rPr>
        <sz val="11"/>
        <color rgb="FF292A2E"/>
        <rFont val="Segoe UI"/>
        <family val="2"/>
      </rPr>
      <t xml:space="preserve"> EZ store-с нэг л удаа илгээдэг байх хөгжүүлэлт 2/24-нд prod орчинд орсон бөгөөд тухайн асуудал нь сайжруулалтын ажлаас өмнө алдаа засагдаагүй үед гарсан байна. Тиймээс GP-д давхар нөлөөлсөн үлдэгдэлийг </t>
    </r>
    <r>
      <rPr>
        <sz val="11"/>
        <color rgb="FF1868DB"/>
        <rFont val="Segoe UI"/>
        <family val="2"/>
      </rPr>
      <t>DC-391: V1293 Режис салбарын тооллогын үр дүн SMS системд давхардсан</t>
    </r>
    <r>
      <rPr>
        <sz val="8"/>
        <color rgb="FF292A2E"/>
        <rFont val="Segoe UI"/>
        <family val="2"/>
      </rPr>
      <t>Resolved</t>
    </r>
    <r>
      <rPr>
        <sz val="11"/>
        <color rgb="FF292A2E"/>
        <rFont val="Segoe UI"/>
        <family val="2"/>
      </rPr>
      <t xml:space="preserve"> тикетээр шийдэх тул энэ тикетийг хааж байна.</t>
    </r>
  </si>
  <si>
    <t xml:space="preserve">Open ticket </t>
  </si>
  <si>
    <r>
      <rPr>
        <b/>
        <sz val="11"/>
        <color theme="1"/>
        <rFont val="Aptos Narrow"/>
        <family val="2"/>
        <scheme val="minor"/>
      </rPr>
      <t xml:space="preserve">DC-371 </t>
    </r>
    <r>
      <rPr>
        <sz val="11"/>
        <color theme="1"/>
        <rFont val="Aptos Narrow"/>
        <family val="2"/>
        <scheme val="minor"/>
      </rPr>
      <t>Борлуулалтын баримт BC системд орж ирээгүй байгаа тул шалгаж, оруулж өгнө үү. V1073202603030200036</t>
    </r>
  </si>
  <si>
    <t xml:space="preserve">Бусад                                              Medium </t>
  </si>
  <si>
    <t>Tuhain barimtiig BC-ruu ilgeesen. ticketiig haaj bna  GSR-aas: master datanii burtgel deer aldaa baij magadgui tuhain aldaa garsan tsag ued ni shuud shalgahgui bol master datan deer daraa ni uurchlult orchihoor shalgah bolomjgui baigaad baina gesen hariu ugsun. Shiidsen Nandintsetseg 2026/03/12</t>
  </si>
  <si>
    <t>Тикет төрөл</t>
  </si>
  <si>
    <t xml:space="preserve">Авсан арга хэмжээ </t>
  </si>
  <si>
    <r>
      <rPr>
        <b/>
        <sz val="11"/>
        <color theme="1"/>
        <rFont val="Aptos Narrow"/>
        <family val="2"/>
        <scheme val="minor"/>
      </rPr>
      <t>DC-387</t>
    </r>
    <r>
      <rPr>
        <sz val="11"/>
        <color theme="1"/>
        <rFont val="Aptos Narrow"/>
        <family val="2"/>
        <scheme val="minor"/>
      </rPr>
      <t xml:space="preserve"> V1175 салбар устгал үржигдсэн</t>
    </r>
  </si>
  <si>
    <r>
      <rPr>
        <b/>
        <sz val="11"/>
        <color theme="1"/>
        <rFont val="Aptos Narrow"/>
        <family val="2"/>
        <scheme val="minor"/>
      </rPr>
      <t>DC-388</t>
    </r>
    <r>
      <rPr>
        <sz val="11"/>
        <color theme="1"/>
        <rFont val="Aptos Narrow"/>
        <family val="2"/>
        <scheme val="minor"/>
      </rPr>
      <t xml:space="preserve"> V1257 салбар устгал үржигдсэн</t>
    </r>
  </si>
  <si>
    <r>
      <rPr>
        <b/>
        <sz val="11"/>
        <color theme="1"/>
        <rFont val="Aptos Narrow"/>
        <family val="2"/>
        <scheme val="minor"/>
      </rPr>
      <t>DC-386</t>
    </r>
    <r>
      <rPr>
        <sz val="11"/>
        <color theme="1"/>
        <rFont val="Aptos Narrow"/>
        <family val="2"/>
        <scheme val="minor"/>
      </rPr>
      <t xml:space="preserve"> V1212 салбар устгал үржигдсэн</t>
    </r>
  </si>
  <si>
    <r>
      <rPr>
        <b/>
        <sz val="11"/>
        <color theme="1"/>
        <rFont val="Aptos Narrow"/>
        <family val="2"/>
        <scheme val="minor"/>
      </rPr>
      <t>DC-384</t>
    </r>
    <r>
      <rPr>
        <sz val="11"/>
        <color theme="1"/>
        <rFont val="Aptos Narrow"/>
        <family val="2"/>
        <scheme val="minor"/>
      </rPr>
      <t xml:space="preserve"> V1299 салбар устгал үржигдсэн</t>
    </r>
  </si>
  <si>
    <r>
      <rPr>
        <b/>
        <sz val="11"/>
        <color theme="1"/>
        <rFont val="Aptos Narrow"/>
        <family val="2"/>
        <scheme val="minor"/>
      </rPr>
      <t>DC-385</t>
    </r>
    <r>
      <rPr>
        <sz val="11"/>
        <color theme="1"/>
        <rFont val="Aptos Narrow"/>
        <family val="2"/>
        <scheme val="minor"/>
      </rPr>
      <t xml:space="preserve"> V5292 салбар устгал үржигдсэн</t>
    </r>
  </si>
  <si>
    <r>
      <rPr>
        <b/>
        <sz val="11"/>
        <color theme="1"/>
        <rFont val="Aptos Narrow"/>
        <family val="2"/>
        <scheme val="minor"/>
      </rPr>
      <t>DC-381</t>
    </r>
    <r>
      <rPr>
        <sz val="11"/>
        <color theme="1"/>
        <rFont val="Aptos Narrow"/>
        <family val="2"/>
        <scheme val="minor"/>
      </rPr>
      <t xml:space="preserve"> V1293 тооллогын үр дүн үржигдсэн EZ асуудал ч үлдэгдэл өөрчлөх систем нь GP </t>
    </r>
  </si>
  <si>
    <r>
      <rPr>
        <b/>
        <sz val="11"/>
        <color theme="1"/>
        <rFont val="Aptos Narrow"/>
        <family val="2"/>
        <scheme val="minor"/>
      </rPr>
      <t>DC-371</t>
    </r>
    <r>
      <rPr>
        <sz val="11"/>
        <color theme="1"/>
        <rFont val="Aptos Narrow"/>
        <family val="2"/>
        <scheme val="minor"/>
      </rPr>
      <t xml:space="preserve"> BC рүү илгээгдээгүй баримт </t>
    </r>
  </si>
  <si>
    <r>
      <rPr>
        <b/>
        <sz val="11"/>
        <color theme="1"/>
        <rFont val="Aptos Narrow"/>
        <family val="2"/>
        <scheme val="minor"/>
      </rPr>
      <t>DC-391</t>
    </r>
    <r>
      <rPr>
        <sz val="11"/>
        <color theme="1"/>
        <rFont val="Aptos Narrow"/>
        <family val="2"/>
        <scheme val="minor"/>
      </rPr>
      <t xml:space="preserve"> V1293 тооллогын үлдэгдэл засах</t>
    </r>
  </si>
  <si>
    <t>New ticket and In progress</t>
  </si>
  <si>
    <r>
      <rPr>
        <b/>
        <sz val="11"/>
        <color theme="1"/>
        <rFont val="Aptos Narrow"/>
        <family val="2"/>
        <scheme val="minor"/>
      </rPr>
      <t>DC-390</t>
    </r>
    <r>
      <rPr>
        <sz val="11"/>
        <color theme="1"/>
        <rFont val="Aptos Narrow"/>
        <family val="2"/>
        <scheme val="minor"/>
      </rPr>
      <t xml:space="preserve"> V1282 салбар устгал үржигдсэн</t>
    </r>
  </si>
  <si>
    <r>
      <rPr>
        <b/>
        <sz val="11"/>
        <color theme="1"/>
        <rFont val="Aptos Narrow"/>
        <family val="2"/>
        <scheme val="minor"/>
      </rPr>
      <t>DC-383</t>
    </r>
    <r>
      <rPr>
        <sz val="11"/>
        <color theme="1"/>
        <rFont val="Aptos Narrow"/>
        <family val="2"/>
        <scheme val="minor"/>
      </rPr>
      <t xml:space="preserve"> V5105 борлуулалт дутуу GSRс асууж байж шийднэ </t>
    </r>
  </si>
  <si>
    <r>
      <rPr>
        <b/>
        <sz val="11"/>
        <color theme="1"/>
        <rFont val="Aptos Narrow"/>
        <family val="2"/>
        <scheme val="minor"/>
      </rPr>
      <t xml:space="preserve">DC-392 </t>
    </r>
    <r>
      <rPr>
        <sz val="11"/>
        <color theme="1"/>
        <rFont val="Aptos Narrow"/>
        <family val="2"/>
        <scheme val="minor"/>
      </rPr>
      <t>GP DB мөрнүүдийн талаар тайлбар мэдээлэл авах</t>
    </r>
  </si>
  <si>
    <r>
      <rPr>
        <b/>
        <sz val="11"/>
        <color theme="1"/>
        <rFont val="Aptos Narrow"/>
        <family val="2"/>
        <scheme val="minor"/>
      </rPr>
      <t>DC-387</t>
    </r>
    <r>
      <rPr>
        <sz val="11"/>
        <color theme="1"/>
        <rFont val="Aptos Narrow"/>
        <family val="2"/>
        <scheme val="minor"/>
      </rPr>
      <t xml:space="preserve"> V1175 Да-Дархан их дэлгүүр салбарын 2026.02.25, 26, 27 өдрүүдийн өдөр тутмын устгал системд үржигдэж нөлөөлсөн алдаа гарсан тул шалгаж өгнө үү.</t>
    </r>
  </si>
  <si>
    <r>
      <rPr>
        <b/>
        <sz val="11"/>
        <color theme="1"/>
        <rFont val="Aptos Narrow"/>
        <family val="2"/>
        <scheme val="minor"/>
      </rPr>
      <t>Nandintsetseg</t>
    </r>
    <r>
      <rPr>
        <sz val="11"/>
        <color theme="1"/>
        <rFont val="Aptos Narrow"/>
        <family val="2"/>
        <scheme val="minor"/>
      </rPr>
      <t xml:space="preserve"> Datag zassan. Unuudur oroi uldegdeld nuluuluh tul ticketiig haaj baina. Shiidsen Nandintsetseg 2026/03/12</t>
    </r>
  </si>
  <si>
    <r>
      <rPr>
        <b/>
        <sz val="11"/>
        <color theme="1"/>
        <rFont val="Aptos Narrow"/>
        <family val="2"/>
        <scheme val="minor"/>
      </rPr>
      <t>DC-388</t>
    </r>
    <r>
      <rPr>
        <sz val="11"/>
        <color theme="1"/>
        <rFont val="Aptos Narrow"/>
        <family val="2"/>
        <scheme val="minor"/>
      </rPr>
      <t xml:space="preserve"> V1257 6-р Бичил хороолол салбарын 2026.01.18, 19, 20  өдрүүдийн өдөр тутмын устгал системд үржигдэж нөлөөлсөн алдаа гарсан тул шалгаж өгнө үү. </t>
    </r>
  </si>
  <si>
    <r>
      <rPr>
        <b/>
        <sz val="11"/>
        <color theme="1"/>
        <rFont val="Aptos Narrow"/>
        <family val="2"/>
        <scheme val="minor"/>
      </rPr>
      <t>DC-386</t>
    </r>
    <r>
      <rPr>
        <sz val="11"/>
        <color theme="1"/>
        <rFont val="Aptos Narrow"/>
        <family val="2"/>
        <scheme val="minor"/>
      </rPr>
      <t xml:space="preserve"> V1212 Вайт хилл салбарын 2026.02.08-ны өдөр тутмын устгал системд үржигдэж нөлөөлсөн алдаа гарсан тул шалгаж өгнө үү.</t>
    </r>
  </si>
  <si>
    <r>
      <rPr>
        <b/>
        <sz val="11"/>
        <color theme="1"/>
        <rFont val="Aptos Narrow"/>
        <family val="2"/>
        <scheme val="minor"/>
      </rPr>
      <t xml:space="preserve">DC-384 </t>
    </r>
    <r>
      <rPr>
        <sz val="11"/>
        <color theme="1"/>
        <rFont val="Aptos Narrow"/>
        <family val="2"/>
        <scheme val="minor"/>
      </rPr>
      <t>V1299 Баянхошуу сутай салбарын 2026.02.22-ны өдөр тутмын устгал системд үржигдэж нөлөөлсөн алдаа гарсан тул шалгаж өгнө үү.</t>
    </r>
  </si>
  <si>
    <r>
      <rPr>
        <b/>
        <sz val="11"/>
        <color theme="1"/>
        <rFont val="Aptos Narrow"/>
        <family val="2"/>
        <scheme val="minor"/>
      </rPr>
      <t>Nandintsetseg</t>
    </r>
    <r>
      <rPr>
        <sz val="11"/>
        <color theme="1"/>
        <rFont val="Aptos Narrow"/>
        <family val="2"/>
        <scheme val="minor"/>
      </rPr>
      <t xml:space="preserve"> Datag zassan. Unuudur oroi uldegdeld nuluuluh tul ticketiig haaj baina. Shiidsen Nandintsetseg 2026/03/1</t>
    </r>
  </si>
  <si>
    <r>
      <rPr>
        <b/>
        <sz val="11"/>
        <color theme="1"/>
        <rFont val="Aptos Narrow"/>
        <family val="2"/>
        <scheme val="minor"/>
      </rPr>
      <t>DC-385</t>
    </r>
    <r>
      <rPr>
        <sz val="11"/>
        <color theme="1"/>
        <rFont val="Aptos Narrow"/>
        <family val="2"/>
        <scheme val="minor"/>
      </rPr>
      <t xml:space="preserve"> 5292 Амарын гудамж Франчайз салбарын 2026/03/05 ны устгал 2 дахин үржигдсэн байна.  Устгал хийх зөв дүнг хавсралтаар илгээв.</t>
    </r>
  </si>
  <si>
    <t>Тухайн асуудлын хүрээнд DC-333: EZ Store-н Admin panel-аас тооллогын дугаарыг нэг л удаа илгээх сайжруулалтын хүсэлт
Resolved EZ store-с нэг л удаа илгээдэг байх хөгжүүлэлт 2/24-нд prod орчинд орсон бөгөөд тухайн асуудал нь сайжруулалтын ажлаас өмнө алдаа засагдаагүй үед гарсан байна. Тиймээс GP-д давхар нөлөөлсөн үлдэгдэлийг DC-391: V1293 Режис салбарын тооллогын үр дүн SMS системд давхардсан Resolved тикетээр шийдэх тул энэ тикетийг хааж байна.</t>
  </si>
  <si>
    <r>
      <rPr>
        <b/>
        <sz val="11"/>
        <color theme="1"/>
        <rFont val="Aptos Narrow"/>
        <family val="2"/>
        <scheme val="minor"/>
      </rPr>
      <t xml:space="preserve">DC-391 </t>
    </r>
    <r>
      <rPr>
        <sz val="11"/>
        <color theme="1"/>
        <rFont val="Aptos Narrow"/>
        <family val="2"/>
        <scheme val="minor"/>
      </rPr>
      <t xml:space="preserve">2026.02.08-2026.02.09-нд шилжих шөнө тоологдсон V1293 Режис салбарын тооллогын үр дүн SMS системд давхардаж орж ирсэн тул засварлаж өгнө үү. </t>
    </r>
  </si>
  <si>
    <t>Алдаа гаргасан систем нь EZ байсан GP систем нь EZ-с өгсөн давхар утгыг үлдэгдэлдээ нөлөөлүүлсэнг энэ тикетээр зассан болно. Тикетийн төрлийг ZT талаас GP-ийн асуудал биш болохоор үйлчилгээ үзүүлсэн болгох хүсэлтэй байсанч DC хүлээн зөвшөөрөөгүй тул доголдолоор шийдэн хаалаа. Шийдсэн Нандинцэцэг 2026/03/12</t>
  </si>
  <si>
    <r>
      <rPr>
        <b/>
        <sz val="11"/>
        <color theme="1"/>
        <rFont val="Aptos Narrow"/>
        <family val="2"/>
        <scheme val="minor"/>
      </rPr>
      <t>DC-390</t>
    </r>
    <r>
      <rPr>
        <sz val="11"/>
        <color theme="1"/>
        <rFont val="Aptos Narrow"/>
        <family val="2"/>
        <scheme val="minor"/>
      </rPr>
      <t xml:space="preserve"> V1282 Сити тауэр салбарын 2026.01.18 өдөр тутмын устгал системд үржигдэж нөлөөлсөн алдаа гарсан тул шалгаж өгнө үү.</t>
    </r>
  </si>
  <si>
    <t>Давхардсан датаг зассан үлдэгдэлд өнөөдөр орой 03/13  17 цагт  нөлөөлөх учир тус цагаас хойш шалгана уу. Асуудлыг зассан тул тикетийг хааж байна. Шийдсэн Нандинцэцэг 03/13</t>
  </si>
  <si>
    <r>
      <rPr>
        <b/>
        <sz val="11"/>
        <color theme="1"/>
        <rFont val="Aptos Narrow"/>
        <family val="2"/>
        <scheme val="minor"/>
      </rPr>
      <t xml:space="preserve">DC-383 </t>
    </r>
    <r>
      <rPr>
        <sz val="11"/>
        <color theme="1"/>
        <rFont val="Aptos Narrow"/>
        <family val="2"/>
        <scheme val="minor"/>
      </rPr>
      <t>5105 салбарын 2026.03.02-ны өдрийн бэлэн мөнгөний тооцоолол дутуу татагдсан .байгааг шалгаж өгнө үү. Тухайн өдөр тог тасраад сүлжээгүй байж байгаад ирсэн ба сейфийн мөнгө систем дээрхээс хамаагүй  илүү байна.</t>
    </r>
  </si>
  <si>
    <r>
      <rPr>
        <b/>
        <sz val="11"/>
        <color theme="1"/>
        <rFont val="Aptos Narrow"/>
        <family val="2"/>
        <scheme val="minor"/>
      </rPr>
      <t>Ariunbold</t>
    </r>
    <r>
      <rPr>
        <sz val="11"/>
        <color theme="1"/>
        <rFont val="Aptos Narrow"/>
        <family val="2"/>
        <scheme val="minor"/>
      </rPr>
      <t xml:space="preserve"> GSR-с ирсэн имэйлийн дагуу дутуу бүртгэгдсэн баримт байхгүй тул дахин бодуулж бэлэн мөнгөний борлуулалтын дүнг тааруулсан. Тиймээс тикетийг хаах хүсэлтийг DC хүлээн зөвшөөрсөн тул тикетийг хааж байна. Харин кассын гүйлгээний цонх нь HQS дээр бодогдож буцаж SMS-рүү орж ирдэг учраас маргааш шалгах боломжтой. Гэхдээ тухайн бэлэн мөнгөний борлуулалтын дүн яагаад дутуу орж ирээд байгаа тухай шалтгааныг тодорхойлж чадаагүй. Шийдсэн Нандинцэцэг 03/16</t>
    </r>
  </si>
  <si>
    <r>
      <rPr>
        <b/>
        <sz val="11"/>
        <color theme="1"/>
        <rFont val="Aptos Narrow"/>
        <family val="2"/>
        <scheme val="minor"/>
      </rPr>
      <t>DC-392</t>
    </r>
    <r>
      <rPr>
        <sz val="11"/>
        <color theme="1"/>
        <rFont val="Aptos Narrow"/>
        <family val="2"/>
        <scheme val="minor"/>
      </rPr>
      <t xml:space="preserve"> DB тайлбар мэдээлэл авах</t>
    </r>
  </si>
  <si>
    <t xml:space="preserve">Мэдээлэл өгсөн                                               Medium </t>
  </si>
  <si>
    <t>Мэдээлэл өгсөн Нандинцэцэг March 12, 2026 at 6:25 PM</t>
  </si>
  <si>
    <t>IT- 1; TFT-7</t>
  </si>
  <si>
    <r>
      <t xml:space="preserve">Мэдээлэл өгсөн                           </t>
    </r>
    <r>
      <rPr>
        <sz val="10"/>
        <color theme="1"/>
        <rFont val="Aptos Narrow"/>
        <family val="2"/>
        <scheme val="minor"/>
      </rPr>
      <t>Medium</t>
    </r>
  </si>
  <si>
    <t xml:space="preserve">DB баазны мөртэй холбоотой мэдээллүүдийг бүрэн өгсөн </t>
  </si>
  <si>
    <r>
      <rPr>
        <b/>
        <sz val="11"/>
        <color theme="1"/>
        <rFont val="Aptos Narrow"/>
        <family val="2"/>
        <scheme val="minor"/>
      </rPr>
      <t xml:space="preserve">DC-395 </t>
    </r>
    <r>
      <rPr>
        <sz val="11"/>
        <color theme="1"/>
        <rFont val="Aptos Narrow"/>
        <family val="2"/>
        <scheme val="minor"/>
      </rPr>
      <t>V5012 03.12-ний ПОС1 дата борлуулалтын дэлгэрэнгүй журнал цонхонд харагдахгүй байна</t>
    </r>
  </si>
  <si>
    <r>
      <t xml:space="preserve">Доголдол                                            </t>
    </r>
    <r>
      <rPr>
        <sz val="10"/>
        <color theme="1"/>
        <rFont val="Aptos Narrow"/>
        <family val="2"/>
        <scheme val="minor"/>
      </rPr>
      <t>Highest</t>
    </r>
  </si>
  <si>
    <t>Тухайн салбарын пос 1 нь борлуулалтын датануудаа SMS system рүү илгээгээгүй шалтгаан нь тухайн посын adapter нь унтарсан байна. Adapter-г дахин асааж DB-ээс шалгаж үзэхэд борлуулалтуудаа илгээж эхэлсэн.</t>
  </si>
  <si>
    <r>
      <t xml:space="preserve">Доголдол                                             </t>
    </r>
    <r>
      <rPr>
        <sz val="10"/>
        <color theme="1"/>
        <rFont val="Aptos Narrow"/>
        <family val="2"/>
        <scheme val="minor"/>
      </rPr>
      <t xml:space="preserve">Medium </t>
    </r>
  </si>
  <si>
    <t xml:space="preserve">Үржигдсэн устгал болон үлдэгдэл зассан </t>
  </si>
  <si>
    <r>
      <rPr>
        <b/>
        <sz val="11"/>
        <color theme="1"/>
        <rFont val="Aptos Narrow"/>
        <family val="2"/>
        <scheme val="minor"/>
      </rPr>
      <t>TFT-394</t>
    </r>
    <r>
      <rPr>
        <sz val="11"/>
        <color theme="1"/>
        <rFont val="Aptos Narrow"/>
        <family val="2"/>
        <scheme val="minor"/>
      </rPr>
      <t xml:space="preserve"> HQ Байршлаар борлуулах бараа бүртгэлийн лавлагаа цонх эксел дээр төлөвөө өөрчлөн оруулсан ч төлөв нь чекгүй байна </t>
    </r>
  </si>
  <si>
    <r>
      <rPr>
        <b/>
        <sz val="11"/>
        <color theme="1"/>
        <rFont val="Aptos Narrow"/>
        <family val="2"/>
        <scheme val="minor"/>
      </rPr>
      <t xml:space="preserve">TFT-393 </t>
    </r>
    <r>
      <rPr>
        <sz val="11"/>
        <color theme="1"/>
        <rFont val="Aptos Narrow"/>
        <family val="2"/>
        <scheme val="minor"/>
      </rPr>
      <t xml:space="preserve">SMS Захиалга ангилалаар цонхны сайжруулалт хийх </t>
    </r>
  </si>
  <si>
    <r>
      <t xml:space="preserve">Сайжруулалт                                    </t>
    </r>
    <r>
      <rPr>
        <sz val="10"/>
        <color theme="1"/>
        <rFont val="Aptos Narrow"/>
        <family val="2"/>
        <scheme val="minor"/>
      </rPr>
      <t>Medium</t>
    </r>
  </si>
  <si>
    <r>
      <rPr>
        <b/>
        <sz val="11"/>
        <color theme="1"/>
        <rFont val="Aptos Narrow"/>
        <family val="2"/>
        <scheme val="minor"/>
      </rPr>
      <t>DC-383</t>
    </r>
    <r>
      <rPr>
        <sz val="11"/>
        <color theme="1"/>
        <rFont val="Aptos Narrow"/>
        <family val="2"/>
        <scheme val="minor"/>
      </rPr>
      <t xml:space="preserve"> V5105 борлуулалт дутуу GSR-с асууж хамтран шийднэ </t>
    </r>
  </si>
  <si>
    <t>IT-2; TFT-7</t>
  </si>
  <si>
    <r>
      <rPr>
        <b/>
        <sz val="11"/>
        <color theme="1"/>
        <rFont val="Aptos Narrow"/>
        <family val="2"/>
        <scheme val="minor"/>
      </rPr>
      <t>DC-397</t>
    </r>
    <r>
      <rPr>
        <sz val="11"/>
        <color theme="1"/>
        <rFont val="Aptos Narrow"/>
        <family val="2"/>
        <scheme val="minor"/>
      </rPr>
      <t xml:space="preserve">  V1328 салбарын устгал 02сард үржигдсэн 2026.02.02, 02.03, 02.04, 02.05, 02.07, 02.08, 02.25, 02.27, 02.28</t>
    </r>
  </si>
  <si>
    <t xml:space="preserve">03/16нд бүртгэгдсэн тикет 03/16нд хаагдсан </t>
  </si>
  <si>
    <r>
      <rPr>
        <b/>
        <sz val="11"/>
        <color theme="1"/>
        <rFont val="Aptos Narrow"/>
        <family val="2"/>
        <scheme val="minor"/>
      </rPr>
      <t>Nandintsetseg</t>
    </r>
    <r>
      <rPr>
        <sz val="11"/>
        <color theme="1"/>
        <rFont val="Aptos Narrow"/>
        <family val="2"/>
        <scheme val="minor"/>
      </rPr>
      <t xml:space="preserve">
Давхардсан устгалуудыг зассан мөн үлдэгдэлд өнөөдөр орой 17 цагт нөлөөлөх тул тус цагаас хойш шалгана уу. Тикетийг хааж байна.Шийдсэн Нандинцэцэг 03/16</t>
    </r>
  </si>
  <si>
    <r>
      <rPr>
        <b/>
        <sz val="11"/>
        <color theme="1"/>
        <rFont val="Aptos Narrow"/>
        <family val="2"/>
        <scheme val="minor"/>
      </rPr>
      <t>DC-399</t>
    </r>
    <r>
      <rPr>
        <sz val="11"/>
        <color theme="1"/>
        <rFont val="Aptos Narrow"/>
        <family val="2"/>
        <scheme val="minor"/>
      </rPr>
      <t xml:space="preserve"> V1088 Салбарын 01/30 устгал үржигдсэн </t>
    </r>
  </si>
  <si>
    <r>
      <rPr>
        <b/>
        <sz val="11"/>
        <color theme="1"/>
        <rFont val="Aptos Narrow"/>
        <family val="2"/>
        <scheme val="minor"/>
      </rPr>
      <t xml:space="preserve">DC-400 </t>
    </r>
    <r>
      <rPr>
        <sz val="11"/>
        <color theme="1"/>
        <rFont val="Aptos Narrow"/>
        <family val="2"/>
        <scheme val="minor"/>
      </rPr>
      <t>V1301 салбарын 02/16ний өдрийн устгал үржигдсэн</t>
    </r>
  </si>
  <si>
    <r>
      <rPr>
        <b/>
        <sz val="11"/>
        <color theme="1"/>
        <rFont val="Aptos Narrow"/>
        <family val="2"/>
        <scheme val="minor"/>
      </rPr>
      <t>DC-401</t>
    </r>
    <r>
      <rPr>
        <sz val="11"/>
        <color theme="1"/>
        <rFont val="Aptos Narrow"/>
        <family val="2"/>
        <scheme val="minor"/>
      </rPr>
      <t xml:space="preserve"> V1067 салбар 01/19 02/08 өдрүүдийн өдөр тутмын устгал үржигдсэн.</t>
    </r>
  </si>
  <si>
    <r>
      <rPr>
        <b/>
        <sz val="11"/>
        <color theme="1"/>
        <rFont val="Aptos Narrow"/>
        <family val="2"/>
        <scheme val="minor"/>
      </rPr>
      <t xml:space="preserve">DC-402 </t>
    </r>
    <r>
      <rPr>
        <sz val="11"/>
        <color theme="1"/>
        <rFont val="Aptos Narrow"/>
        <family val="2"/>
        <scheme val="minor"/>
      </rPr>
      <t>V1150 салбар 02/01 02/08 02/26 өдрүүдийн устгал үржигдсэн</t>
    </r>
  </si>
  <si>
    <r>
      <rPr>
        <b/>
        <sz val="11"/>
        <color theme="1"/>
        <rFont val="Aptos Narrow"/>
        <family val="2"/>
        <scheme val="minor"/>
      </rPr>
      <t xml:space="preserve">DC-403 </t>
    </r>
    <r>
      <rPr>
        <sz val="11"/>
        <color theme="1"/>
        <rFont val="Aptos Narrow"/>
        <family val="2"/>
        <scheme val="minor"/>
      </rPr>
      <t>V1077 салбар 02/08 устгал үржигдсэн</t>
    </r>
  </si>
  <si>
    <r>
      <rPr>
        <b/>
        <sz val="11"/>
        <color theme="1"/>
        <rFont val="Aptos Narrow"/>
        <family val="2"/>
        <scheme val="minor"/>
      </rPr>
      <t xml:space="preserve">Ariunbold </t>
    </r>
    <r>
      <rPr>
        <sz val="11"/>
        <color theme="1"/>
        <rFont val="Aptos Narrow"/>
        <family val="2"/>
        <scheme val="minor"/>
      </rPr>
      <t>GSR-с имэйл ирсэн ба тухайн имэйлийн дагуу алдааг шалгаж байгаа. Хэзээ засварлагдахын мэдэргүй байна. Үндсэн алдаагаа олчихвол дахин бодуулаад өгнөө</t>
    </r>
  </si>
  <si>
    <r>
      <rPr>
        <b/>
        <sz val="11"/>
        <color theme="1"/>
        <rFont val="Aptos Narrow"/>
        <family val="2"/>
        <scheme val="minor"/>
      </rPr>
      <t>Ariunbold</t>
    </r>
    <r>
      <rPr>
        <sz val="11"/>
        <color theme="1"/>
        <rFont val="Aptos Narrow"/>
        <family val="2"/>
        <scheme val="minor"/>
      </rPr>
      <t xml:space="preserve">
GSR-с ирсэн имэйлийн дагуу дутуу бүртгэгдсэн баримт байхгүй тул дахин бодуулж бэлэн мөнгөний борлуулалтын дүнг тааруулсан. Тиймээс тикетийг хаах хүсэлтийг DC хүлээн зөвшөөрсөн тул тикетийг хааж байна. Харин кассын гүйлгээний цонх нь HQS дээр бодогдож буцаж SMS-рүү орж ирдэг учраас маргааш шалгах боломжтой. Гэхдээ тухайн бэлэн мөнгөний борлуулалтын дүн яагаад дутуу орж ирээд байгаа тухай шалтгааныг тодорхойлж чадаагүй. Шийдсэн Нандинцэцэг 03/16</t>
    </r>
  </si>
  <si>
    <r>
      <rPr>
        <b/>
        <sz val="11"/>
        <color theme="1"/>
        <rFont val="Aptos Narrow"/>
        <family val="2"/>
        <scheme val="minor"/>
      </rPr>
      <t>DC-407</t>
    </r>
    <r>
      <rPr>
        <sz val="11"/>
        <color theme="1"/>
        <rFont val="Aptos Narrow"/>
        <family val="2"/>
        <scheme val="minor"/>
      </rPr>
      <t xml:space="preserve"> GP&gt;BC рүү FRA салбаруудын борлуулалтын баримтууд илгээгдээгүй байна </t>
    </r>
  </si>
  <si>
    <r>
      <rPr>
        <b/>
        <sz val="11"/>
        <color theme="1"/>
        <rFont val="Aptos Narrow"/>
        <family val="2"/>
        <scheme val="minor"/>
      </rPr>
      <t xml:space="preserve">DC-408 </t>
    </r>
    <r>
      <rPr>
        <sz val="11"/>
        <color theme="1"/>
        <rFont val="Aptos Narrow"/>
        <family val="2"/>
        <scheme val="minor"/>
      </rPr>
      <t>GP-HQS системд Depart_CD 03 кодтой department ашиглагдахгүй байгаа юу. Хэрвээ ашиглагдахгүй байгаа бол ашиглаж болох уу.</t>
    </r>
  </si>
  <si>
    <r>
      <t xml:space="preserve">Мэдээлэл өгсөн                                             </t>
    </r>
    <r>
      <rPr>
        <sz val="10"/>
        <color theme="1"/>
        <rFont val="Aptos Narrow"/>
        <family val="2"/>
        <scheme val="minor"/>
      </rPr>
      <t xml:space="preserve">Medium </t>
    </r>
  </si>
  <si>
    <r>
      <rPr>
        <b/>
        <sz val="11"/>
        <color theme="1"/>
        <rFont val="Aptos Narrow"/>
        <family val="2"/>
        <scheme val="minor"/>
      </rPr>
      <t>DC-396</t>
    </r>
    <r>
      <rPr>
        <sz val="11"/>
        <color theme="1"/>
        <rFont val="Aptos Narrow"/>
        <family val="2"/>
        <scheme val="minor"/>
      </rPr>
      <t xml:space="preserve"> V5181 салбарын ПОС алдаа өгөөд баримт хэвлэгдээгүй борлуулалт систем дээр харагдахгүй байна </t>
    </r>
  </si>
  <si>
    <r>
      <rPr>
        <b/>
        <sz val="11"/>
        <color theme="1"/>
        <rFont val="Aptos Narrow"/>
        <family val="2"/>
        <scheme val="minor"/>
      </rPr>
      <t>Ariunbold</t>
    </r>
    <r>
      <rPr>
        <sz val="11"/>
        <color theme="1"/>
        <rFont val="Aptos Narrow"/>
        <family val="2"/>
        <scheme val="minor"/>
      </rPr>
      <t xml:space="preserve"> Борлуулалтын баримт хэвлэгдээгүй, GP дээр алдаа зааж GP дээр бүртгэгдээгүй ч Ebarimt-руу баримт нь илгээгдсэн байгаа борлуулалтуудыг GP-рүү хэрхэн оруулж болох талаар GSR тодруулсан. Kareem-н өгсөн мэдээллээр гараар борлуулалт нөхөж оруулах нь маш бага тохиолддог case ба хэвийн тохиолдол гараар оруулахгүй байх хэрэгтэй гэсэн мэдээллийг өгсөн. Мөн доорхи зааврын дагуу борлуулалт дамждаг бүх pos-н table дээр борлуулалтыг гараар нэмэх, EAI-р цаашаа бусад системүүдрүү дамжих table-үүдийг олж бүх table дээр гараар нэмэх, өдрийн settlement-н датаг устгаж дахин бодуулах, table-үүдийг шинэчилэх гэх мэт ажлуудаас бүрдэнэ. Энэхүү ажлуудыг гүйцэтгэхэд table-уудыг судлах, датануудыг зөв оруулах гэх мэт их хугацааны ажлууд хийгдэхээр байна.
 Тиймээс ZT талаас тухайн борлуулалтын ebarimt систем дээрээс буцааж тухайн pos-ууд дээр дахин борлуулалт гаргах нь зөв гэсэн саналтай байна. Харин тухайн борлуулалтуудын огноо нь борлуулалт хийгдсэн өдрөөрөө орох юм. Тухайн борлуулалтын огноонуудыг засварлахад мөн дээр дурдсантай адил хэмжээний ажил хийгдэхээр байна.</t>
    </r>
  </si>
  <si>
    <t>IT-7; TFT-9</t>
  </si>
  <si>
    <r>
      <rPr>
        <b/>
        <sz val="11"/>
        <color theme="1"/>
        <rFont val="Aptos Narrow"/>
        <family val="2"/>
        <scheme val="minor"/>
      </rPr>
      <t xml:space="preserve">Anarmun </t>
    </r>
    <r>
      <rPr>
        <sz val="11"/>
        <color theme="1"/>
        <rFont val="Aptos Narrow"/>
        <family val="2"/>
        <scheme val="minor"/>
      </rPr>
      <t>Тухайн 110 гүйлгээ нь илгээхийг хүлээж буй төлөв дээр байсныг шинэ төлөвт оруулан дахин илэгэсэн. Системийн ачааллаас болон гацсан байх магадлалтай ямар нэгэн алдааны лог байхгүй байна.  Гүйлгээнүүдийг нөхөн илгээсэн тул тикетийг хааж байна. Шийдсэн Анармөн 03/17</t>
    </r>
  </si>
  <si>
    <r>
      <rPr>
        <b/>
        <sz val="11"/>
        <color theme="1"/>
        <rFont val="Aptos Narrow"/>
        <family val="2"/>
        <scheme val="minor"/>
      </rPr>
      <t>Anarmun</t>
    </r>
    <r>
      <rPr>
        <sz val="11"/>
        <color theme="1"/>
        <rFont val="Aptos Narrow"/>
        <family val="2"/>
        <scheme val="minor"/>
      </rPr>
      <t xml:space="preserve">  Depart ийг үүсгэхдээ DB дээр нь шууд үүсгэх боломжтой ба мөн line уудыг бас depart дээрээ DB дээр үүсгэх шаардлагатай болно. Depart, line үүссэний дараагаар class, subclass зэргийг систем дээрээс үүсгэх боломжтой болно.</t>
    </r>
  </si>
  <si>
    <r>
      <rPr>
        <b/>
        <sz val="11"/>
        <color rgb="FF00B050"/>
        <rFont val="Aptos Narrow"/>
        <family val="2"/>
        <scheme val="minor"/>
      </rPr>
      <t>TFT-410</t>
    </r>
    <r>
      <rPr>
        <b/>
        <sz val="11"/>
        <color theme="1"/>
        <rFont val="Aptos Narrow"/>
        <family val="2"/>
        <scheme val="minor"/>
      </rPr>
      <t xml:space="preserve"> </t>
    </r>
    <r>
      <rPr>
        <sz val="11"/>
        <color theme="1"/>
        <rFont val="Aptos Narrow"/>
        <family val="2"/>
        <scheme val="minor"/>
      </rPr>
      <t>A2 Fix installation page error</t>
    </r>
  </si>
  <si>
    <r>
      <t xml:space="preserve">Үйлчилгээ үзүүлсэн                </t>
    </r>
    <r>
      <rPr>
        <sz val="10"/>
        <color theme="1"/>
        <rFont val="Aptos Narrow"/>
        <family val="2"/>
        <scheme val="minor"/>
      </rPr>
      <t xml:space="preserve">High     </t>
    </r>
    <r>
      <rPr>
        <sz val="11"/>
        <color theme="1"/>
        <rFont val="Aptos Narrow"/>
        <family val="2"/>
        <scheme val="minor"/>
      </rPr>
      <t xml:space="preserve">                                        </t>
    </r>
  </si>
  <si>
    <r>
      <rPr>
        <b/>
        <sz val="11"/>
        <color theme="1"/>
        <rFont val="Aptos Narrow"/>
        <family val="2"/>
        <scheme val="minor"/>
      </rPr>
      <t>Anarmun</t>
    </r>
    <r>
      <rPr>
        <sz val="11"/>
        <color theme="1"/>
        <rFont val="Aptos Narrow"/>
        <family val="2"/>
        <scheme val="minor"/>
      </rPr>
      <t xml:space="preserve"> Guide ийн дагуу өөрчлөлтүүдиг SMS болон HQ дээр тестийн орчин дээр оруулсан байгаа. Тест хийсний дараагаар prod руу оруулахаар байна.</t>
    </r>
  </si>
  <si>
    <r>
      <rPr>
        <b/>
        <sz val="11"/>
        <color rgb="FF00B050"/>
        <rFont val="Aptos Narrow"/>
        <family val="2"/>
        <scheme val="minor"/>
      </rPr>
      <t xml:space="preserve">TFT-415 </t>
    </r>
    <r>
      <rPr>
        <b/>
        <sz val="11"/>
        <color theme="1"/>
        <rFont val="Aptos Narrow"/>
        <family val="2"/>
        <scheme val="minor"/>
      </rPr>
      <t xml:space="preserve"> </t>
    </r>
    <r>
      <rPr>
        <sz val="11"/>
        <color theme="1"/>
        <rFont val="Aptos Narrow"/>
        <family val="2"/>
        <scheme val="minor"/>
      </rPr>
      <t xml:space="preserve">HQS имэйл илгээх программ сэргээх </t>
    </r>
  </si>
  <si>
    <r>
      <t xml:space="preserve">Сайжруулалт                </t>
    </r>
    <r>
      <rPr>
        <sz val="10"/>
        <color theme="1"/>
        <rFont val="Aptos Narrow"/>
        <family val="2"/>
        <scheme val="minor"/>
      </rPr>
      <t xml:space="preserve">High     </t>
    </r>
    <r>
      <rPr>
        <sz val="11"/>
        <color theme="1"/>
        <rFont val="Aptos Narrow"/>
        <family val="2"/>
        <scheme val="minor"/>
      </rPr>
      <t xml:space="preserve">                                        </t>
    </r>
  </si>
  <si>
    <r>
      <rPr>
        <b/>
        <sz val="11"/>
        <color theme="1"/>
        <rFont val="Aptos Narrow"/>
        <family val="2"/>
        <scheme val="minor"/>
      </rPr>
      <t>DC-411</t>
    </r>
    <r>
      <rPr>
        <sz val="11"/>
        <color theme="1"/>
        <rFont val="Aptos Narrow"/>
        <family val="2"/>
        <scheme val="minor"/>
      </rPr>
      <t xml:space="preserve"> V1145 Салбар 02/01ний өдрийн устгал үржигдсэн</t>
    </r>
  </si>
  <si>
    <r>
      <rPr>
        <b/>
        <sz val="11"/>
        <color theme="1"/>
        <rFont val="Aptos Narrow"/>
        <family val="2"/>
        <scheme val="minor"/>
      </rPr>
      <t>DC-412</t>
    </r>
    <r>
      <rPr>
        <sz val="11"/>
        <color theme="1"/>
        <rFont val="Aptos Narrow"/>
        <family val="2"/>
        <scheme val="minor"/>
      </rPr>
      <t xml:space="preserve"> V1125 салбар 02/03 өдрийн устгал үржигдсэн</t>
    </r>
  </si>
  <si>
    <r>
      <rPr>
        <b/>
        <sz val="11"/>
        <color theme="1"/>
        <rFont val="Aptos Narrow"/>
        <family val="2"/>
        <scheme val="minor"/>
      </rPr>
      <t>DC-413</t>
    </r>
    <r>
      <rPr>
        <sz val="11"/>
        <color theme="1"/>
        <rFont val="Aptos Narrow"/>
        <family val="2"/>
        <scheme val="minor"/>
      </rPr>
      <t xml:space="preserve"> V1146 салбар 02/04 02/05 02/07 02/13 өдрүүдийн устгал үржигдсэн</t>
    </r>
  </si>
  <si>
    <r>
      <rPr>
        <b/>
        <sz val="11"/>
        <color theme="1"/>
        <rFont val="Aptos Narrow"/>
        <family val="2"/>
        <scheme val="minor"/>
      </rPr>
      <t>DC-414</t>
    </r>
    <r>
      <rPr>
        <sz val="11"/>
        <color theme="1"/>
        <rFont val="Aptos Narrow"/>
        <family val="2"/>
        <scheme val="minor"/>
      </rPr>
      <t xml:space="preserve"> V1119 салбар 02/06 ний устгал үржигдсэн</t>
    </r>
  </si>
  <si>
    <r>
      <rPr>
        <b/>
        <sz val="11"/>
        <color theme="1"/>
        <rFont val="Aptos Narrow"/>
        <family val="2"/>
        <scheme val="minor"/>
      </rPr>
      <t>DC-416</t>
    </r>
    <r>
      <rPr>
        <sz val="11"/>
        <color theme="1"/>
        <rFont val="Aptos Narrow"/>
        <family val="2"/>
        <scheme val="minor"/>
      </rPr>
      <t xml:space="preserve"> V1211 салбар 01/20 02/12 өдрүүдийн устгал үржигдэн </t>
    </r>
  </si>
  <si>
    <r>
      <rPr>
        <b/>
        <sz val="11"/>
        <color theme="1"/>
        <rFont val="Aptos Narrow"/>
        <family val="2"/>
        <scheme val="minor"/>
      </rPr>
      <t>DC-417</t>
    </r>
    <r>
      <rPr>
        <sz val="11"/>
        <color theme="1"/>
        <rFont val="Aptos Narrow"/>
        <family val="2"/>
        <scheme val="minor"/>
      </rPr>
      <t xml:space="preserve"> V1166 салбар 01/14 01/16 01/17 өдрүүдийн устгал үржигдсэн </t>
    </r>
  </si>
  <si>
    <t>IT-3; TFT-10</t>
  </si>
  <si>
    <r>
      <rPr>
        <b/>
        <sz val="11"/>
        <color rgb="FF00B050"/>
        <rFont val="Aptos Narrow"/>
        <family val="2"/>
        <scheme val="minor"/>
      </rPr>
      <t>TFT-164</t>
    </r>
    <r>
      <rPr>
        <sz val="11"/>
        <color theme="1"/>
        <rFont val="Aptos Narrow"/>
        <family val="2"/>
        <scheme val="minor"/>
      </rPr>
      <t xml:space="preserve"> Устгал бүртгэсэн тоо ширхэг үлдэгдэлд нөлөөлөхгүй байх</t>
    </r>
  </si>
  <si>
    <r>
      <rPr>
        <b/>
        <sz val="11"/>
        <color theme="1"/>
        <rFont val="Aptos Narrow"/>
        <family val="2"/>
        <scheme val="minor"/>
      </rPr>
      <t>Ariunbold</t>
    </r>
    <r>
      <rPr>
        <sz val="11"/>
        <color theme="1"/>
        <rFont val="Aptos Narrow"/>
        <family val="2"/>
        <scheme val="minor"/>
      </rPr>
      <t xml:space="preserve"> Энэхүү тикетийг хүрээнд тухайн цонхонд устгалын дүн орсон тохиолдолд үлдэгдэлд нөлөөлдөг байх доголдолыг засварласан. Харин Тухайн цонхонд устгалын дүн нь орж ирэхгүй эсвэл удаж орж байгаа тохиолдол байгаа бол тусад нь тикет үүсгэнэ үү. Тйимээс энэхүү тикетийг хааж байна.</t>
    </r>
  </si>
  <si>
    <r>
      <rPr>
        <b/>
        <sz val="11"/>
        <color theme="1"/>
        <rFont val="Aptos Narrow"/>
        <family val="2"/>
        <scheme val="minor"/>
      </rPr>
      <t>Nandintsetseg</t>
    </r>
    <r>
      <rPr>
        <sz val="11"/>
        <color theme="1"/>
        <rFont val="Aptos Narrow"/>
        <family val="2"/>
        <scheme val="minor"/>
      </rPr>
      <t xml:space="preserve"> Үржигдсэн устгалын үлдэгдэлийг зассан өнөөдөр 17 цагт үлдэгдэлийн цонхнуудад өөрчлөлтө орох тул тус цагаас хойш шалгана уу. Асуудалыг зассан тул уг тикетийг хааж байна. Шийдсэн Нандинцэцэг 03/18</t>
    </r>
  </si>
  <si>
    <r>
      <rPr>
        <b/>
        <sz val="11"/>
        <color rgb="FF00B050"/>
        <rFont val="Aptos Narrow"/>
        <family val="2"/>
        <scheme val="minor"/>
      </rPr>
      <t>TFT-419</t>
    </r>
    <r>
      <rPr>
        <sz val="11"/>
        <color theme="1"/>
        <rFont val="Aptos Narrow"/>
        <family val="2"/>
        <scheme val="minor"/>
      </rPr>
      <t xml:space="preserve"> A4- fixed programm error for 900- shelf application Operations орчинд бөөнөөр бүртгэгдсэн 950 тавиурын нэгжийн бүтээгдэхүүнүүдийн application date-ийг өөрчлөх шаардлагатай байна.</t>
    </r>
  </si>
  <si>
    <t>Сайжруулалт                                            Highest</t>
  </si>
  <si>
    <r>
      <rPr>
        <b/>
        <sz val="11"/>
        <color rgb="FF00B050"/>
        <rFont val="Aptos Narrow"/>
        <family val="2"/>
        <scheme val="minor"/>
      </rPr>
      <t>TFT-420</t>
    </r>
    <r>
      <rPr>
        <sz val="11"/>
        <color rgb="FF00B050"/>
        <rFont val="Aptos Narrow"/>
        <family val="2"/>
        <scheme val="minor"/>
      </rPr>
      <t xml:space="preserve"> </t>
    </r>
    <r>
      <rPr>
        <sz val="11"/>
        <color theme="1"/>
        <rFont val="Aptos Narrow"/>
        <family val="2"/>
        <scheme val="minor"/>
      </rPr>
      <t xml:space="preserve">SMS Үлдэгдэлийн удирдлага&gt; Үлдэгдэлийн лавлагаа бараагаар өдрөөр&gt; Устгасан тоо орж ирэхгүй байгаа </t>
    </r>
  </si>
  <si>
    <t xml:space="preserve">Сайжруулалт                                            Medium </t>
  </si>
  <si>
    <r>
      <rPr>
        <b/>
        <sz val="11"/>
        <color theme="1"/>
        <rFont val="Aptos Narrow"/>
        <family val="2"/>
        <scheme val="minor"/>
      </rPr>
      <t xml:space="preserve">DC-424 </t>
    </r>
    <r>
      <rPr>
        <sz val="11"/>
        <color theme="1"/>
        <rFont val="Aptos Narrow"/>
        <family val="2"/>
        <scheme val="minor"/>
      </rPr>
      <t>Засуулсан устгал системийн зөрүү багананд нөлөөлөөгүй тухай</t>
    </r>
  </si>
  <si>
    <r>
      <rPr>
        <b/>
        <sz val="11"/>
        <color theme="1"/>
        <rFont val="Aptos Narrow"/>
        <family val="2"/>
        <scheme val="minor"/>
      </rPr>
      <t>DC-425</t>
    </r>
    <r>
      <rPr>
        <sz val="11"/>
        <color theme="1"/>
        <rFont val="Aptos Narrow"/>
        <family val="2"/>
        <scheme val="minor"/>
      </rPr>
      <t xml:space="preserve"> 1өдөр 1салбарт 2тооллого үүссэн алдааг засуулах </t>
    </r>
  </si>
  <si>
    <t xml:space="preserve">Дараах төлбөрт                                             Medium </t>
  </si>
  <si>
    <t>IT-3; TFT-9</t>
  </si>
  <si>
    <r>
      <rPr>
        <b/>
        <sz val="11"/>
        <color rgb="FF00B050"/>
        <rFont val="Aptos Narrow"/>
        <family val="2"/>
        <scheme val="minor"/>
      </rPr>
      <t>TFT-419</t>
    </r>
    <r>
      <rPr>
        <sz val="11"/>
        <color theme="1"/>
        <rFont val="Aptos Narrow"/>
        <family val="2"/>
        <scheme val="minor"/>
      </rPr>
      <t xml:space="preserve"> A4-Fixed program error for 900-shelf application</t>
    </r>
  </si>
  <si>
    <t>Сайжруулалт                                           Highest</t>
  </si>
  <si>
    <r>
      <rPr>
        <b/>
        <sz val="11"/>
        <color theme="1"/>
        <rFont val="Aptos Narrow"/>
        <family val="2"/>
        <scheme val="minor"/>
      </rPr>
      <t xml:space="preserve">Ariunbold </t>
    </r>
    <r>
      <rPr>
        <sz val="11"/>
        <color theme="1"/>
        <rFont val="Aptos Narrow"/>
        <family val="2"/>
        <scheme val="minor"/>
      </rPr>
      <t>PROD-руу deploy хийж Kareem шалгаад энэхүү тикетийг хааж болно гэсэн мэдээлэл өгсөн тул энэхүү тикетийг хааж байна. Шийдсэн Tuvshinjargal 03/19</t>
    </r>
  </si>
  <si>
    <t>SMS системийн зөрүү гэх баганы дата EZ-c тусдаа API- аар дамжин орж ирж байгаа дата тул SMS дээрх үлдэгдэл өөрчлөгдөн бодогдсон ч зөрүү баганын дүн өөрчлөгдөхгүй юм. Энэ тикет дэхь асуудал доголдол биш тул мэдээлэл өгсөнөөр харилцан тохиролцон хааж байна. 03/19</t>
  </si>
  <si>
    <r>
      <rPr>
        <b/>
        <sz val="11"/>
        <color theme="1"/>
        <rFont val="Aptos Narrow"/>
        <family val="2"/>
        <scheme val="minor"/>
      </rPr>
      <t xml:space="preserve">DC-426 </t>
    </r>
    <r>
      <rPr>
        <sz val="11"/>
        <color theme="1"/>
        <rFont val="Aptos Narrow"/>
        <family val="2"/>
        <scheme val="minor"/>
      </rPr>
      <t xml:space="preserve">03/18 ний өдрийн борлуулалт BC систем рүү илгээгдээгүй баримтууд </t>
    </r>
  </si>
  <si>
    <r>
      <t xml:space="preserve">Бусад                                              </t>
    </r>
    <r>
      <rPr>
        <sz val="10"/>
        <color theme="1"/>
        <rFont val="Aptos Narrow"/>
        <family val="2"/>
        <scheme val="minor"/>
      </rPr>
      <t xml:space="preserve">Medium </t>
    </r>
  </si>
  <si>
    <t>Шалгаж байна</t>
  </si>
  <si>
    <r>
      <rPr>
        <b/>
        <sz val="11"/>
        <color theme="1"/>
        <rFont val="Aptos Narrow"/>
        <family val="2"/>
        <scheme val="minor"/>
      </rPr>
      <t>DC Narandelger</t>
    </r>
    <r>
      <rPr>
        <sz val="11"/>
        <color theme="1"/>
        <rFont val="Aptos Narrow"/>
        <family val="2"/>
        <scheme val="minor"/>
      </rPr>
      <t xml:space="preserve"> Бид receipt дээрээс баримтуудын list гаргасан. Санхүүгээр устгуулсны дараа мэдэгдье. Борлуулалтыг дахин гаргах үед мэдэгдье. </t>
    </r>
  </si>
  <si>
    <t>IT-3; TFT11</t>
  </si>
  <si>
    <t>Bugd amjilttai ilgeegdchihsen tul ticketiig haaj bna. Shiidsen Nandintsetsg 03/19</t>
  </si>
  <si>
    <t>Тус тикетэд ойлголцлын зөрүү үүсэн тул 1 хүн цагаар ажлын цагийг тогтохоор боллоо. Актаа үйлдэн имэйл болон биетээр ирэх даваа гарагт илгээе. Асуудал засагдсан тул тикетийг хаалаа. Шийдсэн Нандинцэцэг 03/20</t>
  </si>
  <si>
    <r>
      <rPr>
        <b/>
        <sz val="11"/>
        <color theme="1"/>
        <rFont val="Aptos Narrow"/>
        <family val="2"/>
        <scheme val="minor"/>
      </rPr>
      <t>DC-431</t>
    </r>
    <r>
      <rPr>
        <sz val="11"/>
        <color theme="1"/>
        <rFont val="Aptos Narrow"/>
        <family val="2"/>
        <scheme val="minor"/>
      </rPr>
      <t xml:space="preserve"> Салбарын борлуулалтын лавлагаа зарим жагсаалтын зарим өдрийн тооцоолол орж ирэхгүй байгаа тухай</t>
    </r>
  </si>
  <si>
    <r>
      <rPr>
        <b/>
        <sz val="11"/>
        <color theme="1"/>
        <rFont val="Aptos Narrow"/>
        <family val="2"/>
        <scheme val="minor"/>
      </rPr>
      <t>Ariunbold</t>
    </r>
    <r>
      <rPr>
        <sz val="11"/>
        <color theme="1"/>
        <rFont val="Aptos Narrow"/>
        <family val="2"/>
        <scheme val="minor"/>
      </rPr>
      <t xml:space="preserve"> Тухайн цонхонд орж ирэх хугацаа нь тухайн өдрөөс 4 өдрийн дараа бодолт хийдэг юм байна. Жишээ нь 3/11-ны дүн нь 3/15-ны 03:30 цагт бодогддог. Харин тухайн 1 удаа бодогдох үед нь тухайн өдрийн settlement нь хийгдээгүй үед хоосон бодогдоно. 3/11-ны жишээн дээр авч үзвэл settlement нь 3/15-ны 16:49-д хийгдсэн учраас хоосон орж ирсэн байна. Тиймээс хугацаандаа settlement-ээ хийж байхыг анхааруулна уу.
Тиймээс энэхүү тикетийг мэдээлэл өгсөн төлөвт оруулж хаах хүсэлтэй байна.
Тухайн өдрүүдийн дүнгүүдийг дахиж бодуулсан ба дүн нь орж ирсэн болно.</t>
    </r>
  </si>
  <si>
    <r>
      <rPr>
        <b/>
        <sz val="11"/>
        <color theme="1"/>
        <rFont val="Aptos Narrow"/>
        <family val="2"/>
        <scheme val="minor"/>
      </rPr>
      <t>DC-430</t>
    </r>
    <r>
      <rPr>
        <sz val="11"/>
        <color theme="1"/>
        <rFont val="Aptos Narrow"/>
        <family val="2"/>
        <scheme val="minor"/>
      </rPr>
      <t xml:space="preserve"> Борлуулалтын лавлагаа эксел файлаар татахад нийт дүнгийн зөрүү үүсч буй асуудал </t>
    </r>
  </si>
  <si>
    <r>
      <rPr>
        <b/>
        <sz val="11"/>
        <color theme="1"/>
        <rFont val="Aptos Narrow"/>
        <family val="2"/>
        <scheme val="minor"/>
      </rPr>
      <t>Anarmun</t>
    </r>
    <r>
      <rPr>
        <sz val="11"/>
        <color theme="1"/>
        <rFont val="Aptos Narrow"/>
        <family val="2"/>
        <scheme val="minor"/>
      </rPr>
      <t xml:space="preserve"> Сагсны дундаж гэсэн баганын хөл дүн нь нийт НӨАТ-тэй борлуулалтын дүнг нийт үйлчлүүлэгчдийн тоонд хуваасан тоо байсан юм байна. Тухайн цонхон дээр байгаа нийт → Борлуулалтын дүн гэдэг багана нь харин НӨАТ гүй борлуулалтын дүнг харуулж байснаас зөрүүтэй харагдаж байсан байна.
Иймд хөл дүн нь НӨАТ тэй дүнгээс боддог байсныг НӨАТ дүнгээс дундаж дүнгээ боддог өөрчлөлтийг оруулсан шалгаж үзнэ үү. Жич тухайн дүн нь өдрийн дундаж дүн биш болно.</t>
    </r>
  </si>
  <si>
    <r>
      <rPr>
        <b/>
        <sz val="11"/>
        <color rgb="FF00B050"/>
        <rFont val="Aptos Narrow"/>
        <family val="2"/>
        <scheme val="minor"/>
      </rPr>
      <t>TFT-429</t>
    </r>
    <r>
      <rPr>
        <sz val="11"/>
        <color theme="1"/>
        <rFont val="Aptos Narrow"/>
        <family val="2"/>
        <scheme val="minor"/>
      </rPr>
      <t xml:space="preserve"> Monthly closing process </t>
    </r>
  </si>
  <si>
    <t xml:space="preserve">Сайжруулалт                                             Medium </t>
  </si>
  <si>
    <r>
      <rPr>
        <b/>
        <sz val="11"/>
        <color rgb="FF00B050"/>
        <rFont val="Aptos Narrow"/>
        <family val="2"/>
        <scheme val="minor"/>
      </rPr>
      <t>TFT-428</t>
    </r>
    <r>
      <rPr>
        <sz val="11"/>
        <color theme="1"/>
        <rFont val="Aptos Narrow"/>
        <family val="2"/>
        <scheme val="minor"/>
      </rPr>
      <t xml:space="preserve"> /Regarding Cost value of "ESBY010_RealStkinBrdnMng" Screen/НӨАТ-гүй өртөг үнэ оруулахтай холбоотой </t>
    </r>
  </si>
  <si>
    <t>IT-1; TFT-10</t>
  </si>
  <si>
    <r>
      <rPr>
        <b/>
        <sz val="11"/>
        <color theme="1"/>
        <rFont val="Aptos Narrow"/>
        <family val="2"/>
        <scheme val="minor"/>
      </rPr>
      <t>Anarmun</t>
    </r>
    <r>
      <rPr>
        <sz val="11"/>
        <color theme="1"/>
        <rFont val="Aptos Narrow"/>
        <family val="2"/>
        <scheme val="minor"/>
      </rPr>
      <t xml:space="preserve"> Сагсны дундаж гэсэн баганын хөл дүн нь нийт НӨАТ-тэй борлуулалтын дүнг нийт үйлчлүүлэгчдийн тоонд хуваасан тоо байсан юм байна. Тухайн цонхон дээр байгаа нийт → Борлуулалтын дүн гэдэг багана нь харин НӨАТ гүй борлуулалтын дүнг харуулж байснаас зөрүүтэй харагдаж байсан байна.Иймд хөл дүн нь НӨАТ тэй дүнгээс боддог байсныг НӨАТ дүнгээс дундаж дүнгээ боддог өөрчлөлтийг оруулсан тул тикетийг хааж байна.</t>
    </r>
  </si>
  <si>
    <r>
      <rPr>
        <b/>
        <sz val="11"/>
        <color theme="1"/>
        <rFont val="Aptos Narrow"/>
        <family val="2"/>
        <scheme val="minor"/>
      </rPr>
      <t>Anarmun</t>
    </r>
    <r>
      <rPr>
        <sz val="11"/>
        <color theme="1"/>
        <rFont val="Aptos Narrow"/>
        <family val="2"/>
        <scheme val="minor"/>
      </rPr>
      <t xml:space="preserve"> Тухайн цонхонд орж ирэх хугацаа нь тухайн өдрөөс 4 өдрийн дараа бодолт хийдэг юм байна. Жишээ нь 3/11-ны дүн нь 3/15-ны 03:30 цагт бодогддог. Харин тухайн 1 удаа бодогдох үед нь тухайн өдрийн settlement нь хийгдээгүй үед хоосон бодогдоно. 3/11-ны жишээн дээр авч үзвэл settlement нь 3/15-ны 16:49-д хийгдсэн учраас хоосон орж ирсэн байна. Тиймээс хугацаандаа settlement-ээ хийж байхыг анхааруулна уу.
Тиймээс энэхүү тикетийг 2 тал харилцан тохиролцсоны дагуу мэдээлэл өгсөн төлөвт оруулж хааж байна.Тухайн өдрүүдийн дүнгүүдийг дахиж бодуулсан ба дүн нь орж ирсэн болно. Шийдсэн Анармөн 03/20</t>
    </r>
  </si>
  <si>
    <r>
      <rPr>
        <b/>
        <sz val="11"/>
        <color rgb="FF00B050"/>
        <rFont val="Aptos Narrow"/>
        <family val="2"/>
        <scheme val="minor"/>
      </rPr>
      <t>TFT-328</t>
    </r>
    <r>
      <rPr>
        <sz val="11"/>
        <color theme="1"/>
        <rFont val="Aptos Narrow"/>
        <family val="2"/>
        <scheme val="minor"/>
      </rPr>
      <t xml:space="preserve"> TFT #78 SMS&gt;Тооцоо нийлэх&gt;Бэлэн мөнгө тушаалт цонх</t>
    </r>
  </si>
  <si>
    <r>
      <t xml:space="preserve">Сайжруулалт                                             </t>
    </r>
    <r>
      <rPr>
        <sz val="10"/>
        <color theme="1"/>
        <rFont val="Aptos Narrow"/>
        <family val="2"/>
        <scheme val="minor"/>
      </rPr>
      <t xml:space="preserve">Medium </t>
    </r>
  </si>
  <si>
    <r>
      <rPr>
        <b/>
        <sz val="11"/>
        <color theme="1"/>
        <rFont val="Aptos Narrow"/>
        <family val="2"/>
        <scheme val="minor"/>
      </rPr>
      <t>Tuvshinjargal</t>
    </r>
    <r>
      <rPr>
        <sz val="11"/>
        <color theme="1"/>
        <rFont val="Aptos Narrow"/>
        <family val="2"/>
        <scheme val="minor"/>
      </rPr>
      <t xml:space="preserve"> Сайжруулалтыг Prod орчин руу оруулсан тул тикетийг хааж байна. Шийдсэн Түвшинжаргал 03/23</t>
    </r>
  </si>
  <si>
    <r>
      <rPr>
        <b/>
        <sz val="11"/>
        <color rgb="FF00B050"/>
        <rFont val="Aptos Narrow"/>
        <family val="2"/>
        <scheme val="minor"/>
      </rPr>
      <t>TFT-394</t>
    </r>
    <r>
      <rPr>
        <sz val="11"/>
        <color theme="1"/>
        <rFont val="Aptos Narrow"/>
        <family val="2"/>
        <scheme val="minor"/>
      </rPr>
      <t xml:space="preserve"> HQS-Байршлаар борлуулах удирдлага-байршлаар борлуулах бараа бүртгэлийн лавлагаа цонх эксел дээр төлөвөө оруулсан ч төлөв нь чеклэгдэхгүй байна</t>
    </r>
  </si>
  <si>
    <r>
      <t xml:space="preserve">Мэдээлэл өгсөн                                         </t>
    </r>
    <r>
      <rPr>
        <sz val="10"/>
        <color theme="1"/>
        <rFont val="Aptos Narrow"/>
        <family val="2"/>
        <scheme val="minor"/>
      </rPr>
      <t xml:space="preserve">Medium </t>
    </r>
  </si>
  <si>
    <r>
      <rPr>
        <b/>
        <sz val="11"/>
        <color theme="1"/>
        <rFont val="Aptos Narrow"/>
        <family val="2"/>
        <scheme val="minor"/>
      </rPr>
      <t xml:space="preserve">Ariunbold </t>
    </r>
    <r>
      <rPr>
        <sz val="11"/>
        <color theme="1"/>
        <rFont val="Aptos Narrow"/>
        <family val="2"/>
        <scheme val="minor"/>
      </rPr>
      <t>Хөгжүүлэлтийн ажлыг PROD-руу оруулсан тул тикетийг хааж байна.</t>
    </r>
  </si>
  <si>
    <r>
      <rPr>
        <b/>
        <sz val="11"/>
        <color rgb="FF00B050"/>
        <rFont val="Aptos Narrow"/>
        <family val="2"/>
        <scheme val="minor"/>
      </rPr>
      <t>TFT-436</t>
    </r>
    <r>
      <rPr>
        <sz val="11"/>
        <color theme="1"/>
        <rFont val="Aptos Narrow"/>
        <family val="2"/>
        <scheme val="minor"/>
      </rPr>
      <t xml:space="preserve">  TFT #A5-Fixed bug in basic promotion registration screen-Урамшууллын үндсэн бүртгэлийн дэлгэцийн алдааг засах</t>
    </r>
  </si>
  <si>
    <r>
      <t>Мэдээлэл өгсөн                                         High</t>
    </r>
    <r>
      <rPr>
        <sz val="10"/>
        <color theme="1"/>
        <rFont val="Aptos Narrow"/>
        <family val="2"/>
        <scheme val="minor"/>
      </rPr>
      <t xml:space="preserve"> </t>
    </r>
  </si>
  <si>
    <t>IT-1; TFT-11</t>
  </si>
  <si>
    <t>IT-2; TFT-11</t>
  </si>
  <si>
    <r>
      <rPr>
        <b/>
        <sz val="11"/>
        <color theme="1"/>
        <rFont val="Aptos Narrow"/>
        <family val="2"/>
        <scheme val="minor"/>
      </rPr>
      <t>DC-439</t>
    </r>
    <r>
      <rPr>
        <sz val="11"/>
        <color theme="1"/>
        <rFont val="Aptos Narrow"/>
        <family val="2"/>
        <scheme val="minor"/>
      </rPr>
      <t xml:space="preserve"> V1175 Дархан их дэлгүүр салбарын 2026.01.14 болон 2026.01.19ны өдөр тутмын устгал үржигдсэн</t>
    </r>
  </si>
  <si>
    <r>
      <rPr>
        <b/>
        <sz val="11"/>
        <color theme="1"/>
        <rFont val="Aptos Narrow"/>
        <family val="2"/>
        <scheme val="minor"/>
      </rPr>
      <t>Nandintsetseg</t>
    </r>
    <r>
      <rPr>
        <sz val="11"/>
        <color theme="1"/>
        <rFont val="Aptos Narrow"/>
        <family val="2"/>
        <scheme val="minor"/>
      </rPr>
      <t xml:space="preserve"> Datag zassan uldegdel unuu oroi 17 tsagt bodogdoh tul tus tsagaas hoish shalgana uu. Ticketiig haah huseltei bna Shiidsen Nandintsetseg 03/25</t>
    </r>
  </si>
  <si>
    <r>
      <rPr>
        <b/>
        <sz val="11"/>
        <color theme="1"/>
        <rFont val="Aptos Narrow"/>
        <family val="2"/>
        <scheme val="minor"/>
      </rPr>
      <t>DC-440</t>
    </r>
    <r>
      <rPr>
        <sz val="11"/>
        <color theme="1"/>
        <rFont val="Aptos Narrow"/>
        <family val="2"/>
        <scheme val="minor"/>
      </rPr>
      <t xml:space="preserve"> V1143 УБ хотын музей салбарын 2026.01.29 болон 2026.02.05 ны өдөр тутмын устгал үржигдсэн</t>
    </r>
  </si>
  <si>
    <r>
      <rPr>
        <b/>
        <sz val="11"/>
        <color theme="1"/>
        <rFont val="Aptos Narrow"/>
        <family val="2"/>
        <scheme val="minor"/>
      </rPr>
      <t>DC-441</t>
    </r>
    <r>
      <rPr>
        <sz val="11"/>
        <color theme="1"/>
        <rFont val="Aptos Narrow"/>
        <family val="2"/>
        <scheme val="minor"/>
      </rPr>
      <t xml:space="preserve"> V1100 Могул салбарын 2026.01.29 болон 2026.02.15, 16, 2025.03.03, 06ны өдөр тутмын устгал үржигдсэн</t>
    </r>
  </si>
  <si>
    <r>
      <rPr>
        <b/>
        <sz val="11"/>
        <color theme="1"/>
        <rFont val="Aptos Narrow"/>
        <family val="2"/>
        <scheme val="minor"/>
      </rPr>
      <t xml:space="preserve">DC-430 </t>
    </r>
    <r>
      <rPr>
        <sz val="11"/>
        <color theme="1"/>
        <rFont val="Aptos Narrow"/>
        <family val="2"/>
        <scheme val="minor"/>
      </rPr>
      <t>Борлуулалтын лавлагааг эксел файлаар татхад нийт дүнгийн зөрүү үүсч буй асуудлын тухай</t>
    </r>
  </si>
  <si>
    <r>
      <rPr>
        <b/>
        <sz val="11"/>
        <color theme="1"/>
        <rFont val="Aptos Narrow"/>
        <family val="2"/>
        <scheme val="minor"/>
      </rPr>
      <t>Reopened-</t>
    </r>
    <r>
      <rPr>
        <sz val="11"/>
        <color theme="1"/>
        <rFont val="Aptos Narrow"/>
        <family val="2"/>
        <scheme val="minor"/>
      </rPr>
      <t xml:space="preserve"> Priority өөрчлөх хүсэлт DC-рүү өгсөн. Хариу хүлээж байна </t>
    </r>
  </si>
  <si>
    <r>
      <rPr>
        <b/>
        <sz val="11"/>
        <color theme="1"/>
        <rFont val="Aptos Narrow"/>
        <family val="2"/>
        <scheme val="minor"/>
      </rPr>
      <t>Anarmun</t>
    </r>
    <r>
      <rPr>
        <sz val="11"/>
        <color theme="1"/>
        <rFont val="Aptos Narrow"/>
        <family val="2"/>
        <scheme val="minor"/>
      </rPr>
      <t xml:space="preserve"> Сагсны дундаж гэсэн баганын хөл дүн нь нийт НӨАТ-тэй борлуулалтын дүнг нийт үйлчлүүлэгчдийн тоонд хуваасан тоо байсан юм байна.
Тухайн цонхон дээр байгаа нийт → Борлуулалтын дүн гэдэг багана нь харин НӨАТ гүй борлуулалтын дүнг харуулж байснаас зөрүүтэй харагдаж байсан байна. Иймд хөл дүн нь НӨАТ тэй дүнгээс боддог байсныг НӨАТ дүнгээс дундаж дүнгээ боддог өөрчлөлтийг оруулсан тул тикетийг хааж байна.</t>
    </r>
  </si>
  <si>
    <r>
      <rPr>
        <b/>
        <sz val="11"/>
        <color theme="1"/>
        <rFont val="Aptos Narrow"/>
        <family val="2"/>
        <scheme val="minor"/>
      </rPr>
      <t>DC Narandelger</t>
    </r>
    <r>
      <rPr>
        <sz val="11"/>
        <color theme="1"/>
        <rFont val="Aptos Narrow"/>
        <family val="2"/>
        <scheme val="minor"/>
      </rPr>
      <t xml:space="preserve"> ДДТД дугаараар буцаалт хийж болохгүй байгаа тул бид өөр арга хайж байна.</t>
    </r>
  </si>
  <si>
    <t xml:space="preserve">    </t>
  </si>
  <si>
    <r>
      <rPr>
        <b/>
        <sz val="11"/>
        <color theme="1"/>
        <rFont val="Aptos Narrow"/>
        <family val="2"/>
        <scheme val="minor"/>
      </rPr>
      <t>DC-444</t>
    </r>
    <r>
      <rPr>
        <sz val="11"/>
        <color theme="1"/>
        <rFont val="Aptos Narrow"/>
        <family val="2"/>
        <scheme val="minor"/>
      </rPr>
      <t xml:space="preserve"> Захиалгын notfication илгээх</t>
    </r>
  </si>
  <si>
    <r>
      <rPr>
        <b/>
        <sz val="11"/>
        <color theme="1"/>
        <rFont val="Aptos Narrow"/>
        <family val="2"/>
        <scheme val="minor"/>
      </rPr>
      <t>Ariunbold</t>
    </r>
    <r>
      <rPr>
        <sz val="11"/>
        <color theme="1"/>
        <rFont val="Aptos Narrow"/>
        <family val="2"/>
        <scheme val="minor"/>
      </rPr>
      <t xml:space="preserve"> 2 цагт багтаан хийх боломжгүй. Мөн хэрхэн хийгдэх боломжтой талаар судалгаа хийж байж хариу өгхөөр байна.</t>
    </r>
  </si>
  <si>
    <r>
      <rPr>
        <b/>
        <sz val="11"/>
        <color theme="1"/>
        <rFont val="Aptos Narrow"/>
        <family val="2"/>
        <scheme val="minor"/>
      </rPr>
      <t>Anarmun</t>
    </r>
    <r>
      <rPr>
        <sz val="11"/>
        <color theme="1"/>
        <rFont val="Aptos Narrow"/>
        <family val="2"/>
        <scheme val="minor"/>
      </rPr>
      <t xml:space="preserve"> Сагсны дундаж гэсэн баганын хөл дүн нь нийт НӨАТ-тэй борлуулалтын дүнг нийт үйлчлүүлэгчдийн тоонд хуваасан тоо байсан юм байна. Тухайн цонхон дээр байгаа нийт → Борлуулалтын дүн гэдэг багана нь харин НӨАТ гүй борлуулалтын дүнг харуулж байснаас зөрүүтэй харагдаж байсан байна. Иймд хөл дүн нь НӨАТ тэй дүнгээс боддог байсныг НӨАТ дүнгээс дундаж дүнгээ боддог өөрчлөлтийг оруулсан тул тикетийг хааж байна.</t>
    </r>
  </si>
  <si>
    <r>
      <rPr>
        <b/>
        <sz val="11"/>
        <color theme="1"/>
        <rFont val="Aptos Narrow"/>
        <family val="2"/>
        <scheme val="minor"/>
      </rPr>
      <t>Anarmun</t>
    </r>
    <r>
      <rPr>
        <sz val="11"/>
        <color theme="1"/>
        <rFont val="Aptos Narrow"/>
        <family val="2"/>
        <scheme val="minor"/>
      </rPr>
      <t xml:space="preserve"> Сагсны дундаж гэсэн баганын хөл дүн нь нийт НӨАТ-тэй борлуулалтын дүнг нийт үйлчлүүлэгчдийн тоонд хуваасан тоо байсан юм байна.
Тухайн цонхон дээр байгаа нийт → Борлуулалтын дүн гэдэг багана нь харин НӨАТ гүй борлуулалтын дүнг харуулж байснаас зөрүүтэй харагдаж байсан байна. Иймд хөл дүн нь НӨАТ тэй дүнгээс боддог байсныг НӨАТ дүнгээс дундаж дүнгээ боддог өөрчлөлтийг оруулсан тул тикетийг хааж байна. Priority High байсанг 2 тал харилцан тохиролцон Medium болгон буурууллаа. Шийдсэн Anarmun Munkhbayar 20 March 2026 at 17:07</t>
    </r>
  </si>
  <si>
    <r>
      <rPr>
        <b/>
        <sz val="11"/>
        <color theme="1"/>
        <rFont val="Aptos Narrow"/>
        <family val="2"/>
        <scheme val="minor"/>
      </rPr>
      <t>DC-451</t>
    </r>
    <r>
      <rPr>
        <sz val="11"/>
        <color theme="1"/>
        <rFont val="Aptos Narrow"/>
        <family val="2"/>
        <scheme val="minor"/>
      </rPr>
      <t xml:space="preserve"> Барааны үлдэгдэл зөрүүтэй харагдаж байгаа тухай </t>
    </r>
  </si>
  <si>
    <t>GP teamрүү шалгах хүсэлт өгсөн</t>
  </si>
  <si>
    <t>IT-5; TFT-10</t>
  </si>
  <si>
    <r>
      <rPr>
        <b/>
        <sz val="11"/>
        <color theme="1"/>
        <rFont val="Aptos Narrow"/>
        <family val="2"/>
        <scheme val="minor"/>
      </rPr>
      <t>TFT-436</t>
    </r>
    <r>
      <rPr>
        <sz val="11"/>
        <color theme="1"/>
        <rFont val="Aptos Narrow"/>
        <family val="2"/>
        <scheme val="minor"/>
      </rPr>
      <t xml:space="preserve"> TFT #A5-Fixed bug in basic promotion registration screen-Урамшууллын үндсэн бүртгэлийн дэлгэцийн алдааг засах</t>
    </r>
  </si>
  <si>
    <t>Мэдээлэл өгсөн                                             High</t>
  </si>
  <si>
    <r>
      <rPr>
        <b/>
        <sz val="11"/>
        <color theme="1"/>
        <rFont val="Aptos Narrow"/>
        <family val="2"/>
        <scheme val="minor"/>
      </rPr>
      <t xml:space="preserve">Nandintsetseg </t>
    </r>
    <r>
      <rPr>
        <sz val="11"/>
        <color theme="1"/>
        <rFont val="Aptos Narrow"/>
        <family val="2"/>
        <scheme val="minor"/>
      </rPr>
      <t>Prod ruu uurchlultiig oruulsan.DC talaas shalgaad bolson gesen tul ticketiig haaj baina.</t>
    </r>
  </si>
  <si>
    <r>
      <rPr>
        <sz val="11"/>
        <color rgb="FF000000"/>
        <rFont val="Aptos Narrow"/>
        <scheme val="minor"/>
      </rPr>
      <t>Мэдээлэл өгсөн -</t>
    </r>
    <r>
      <rPr>
        <sz val="10"/>
        <color rgb="FF000000"/>
        <rFont val="Aptos Narrow"/>
        <scheme val="minor"/>
      </rPr>
      <t xml:space="preserve">Medium </t>
    </r>
  </si>
  <si>
    <r>
      <rPr>
        <b/>
        <sz val="11"/>
        <color theme="1"/>
        <rFont val="Aptos Narrow"/>
        <family val="2"/>
        <scheme val="minor"/>
      </rPr>
      <t>Ariunbold</t>
    </r>
    <r>
      <rPr>
        <sz val="11"/>
        <color theme="1"/>
        <rFont val="Aptos Narrow"/>
        <family val="2"/>
        <scheme val="minor"/>
      </rPr>
      <t xml:space="preserve"> Энэ асуудлын талаар Kareem-с имэйлээр мэдээлэл хүргүүлсэн байна. Тиймээс мөн DC дотор мэдээллүүдээ солилцнуу. Өнөөдрийн TFT хурлаар энэ зөрөөд байгаа шалтгаан нь устгал бүртгэлийг үлдэгдэлд нөлөөлүүлдэг болсоноор Захиалгын үеийн үлдэгдэл нь тухайн хасагдсан үлдэгдлээс дахин устгалыг хасч байгаатай холбоотой гэж ярилцсан. Мөн устгалыг бодит үлдэгдэлд шууд нөлөөлүүлж байгааг болих талаар шийдвэр гарсан талаар мэдээлэл өгсөн тул 2 тал харилцан тохиролцсоны дагуу энэхүү тикетийг хааж байна. Шийдсэн Ариунболд April 1, 2026 at 4:07 PM</t>
    </r>
  </si>
  <si>
    <r>
      <rPr>
        <b/>
        <sz val="11"/>
        <color theme="1"/>
        <rFont val="Aptos Narrow"/>
        <family val="2"/>
        <scheme val="minor"/>
      </rPr>
      <t>DC-454</t>
    </r>
    <r>
      <rPr>
        <sz val="11"/>
        <color theme="1"/>
        <rFont val="Aptos Narrow"/>
        <family val="2"/>
        <scheme val="minor"/>
      </rPr>
      <t xml:space="preserve">  Захиалга хийгээгүй бараа нь дээр орлого үүссэн</t>
    </r>
  </si>
  <si>
    <r>
      <rPr>
        <b/>
        <sz val="11"/>
        <color theme="1"/>
        <rFont val="Aptos Narrow"/>
        <family val="2"/>
        <scheme val="minor"/>
      </rPr>
      <t>DC-455</t>
    </r>
    <r>
      <rPr>
        <sz val="11"/>
        <color theme="1"/>
        <rFont val="Aptos Narrow"/>
        <family val="2"/>
        <scheme val="minor"/>
      </rPr>
      <t xml:space="preserve"> 2026/03/31-ны өдрийн 39салбарын 92 баримтууд BC рүү илгээгдээгүй Own stores</t>
    </r>
  </si>
  <si>
    <r>
      <rPr>
        <b/>
        <sz val="11"/>
        <color theme="1"/>
        <rFont val="Aptos Narrow"/>
        <family val="2"/>
        <scheme val="minor"/>
      </rPr>
      <t>DC-456</t>
    </r>
    <r>
      <rPr>
        <sz val="11"/>
        <color theme="1"/>
        <rFont val="Aptos Narrow"/>
        <family val="2"/>
        <scheme val="minor"/>
      </rPr>
      <t xml:space="preserve"> 3 сарын 31ны franchise 35 салбарын 74 баримтууд BC рүү илгээгдээгүй</t>
    </r>
  </si>
  <si>
    <r>
      <t xml:space="preserve">Бусад- </t>
    </r>
    <r>
      <rPr>
        <sz val="10"/>
        <color theme="1"/>
        <rFont val="Aptos Narrow"/>
        <family val="2"/>
        <scheme val="minor"/>
      </rPr>
      <t xml:space="preserve">Medium </t>
    </r>
  </si>
  <si>
    <t>GP System рестарт хийгдэхэд эдгээр борлуулалтууд илгээгдээгүй үлдсэн байсан тул нөхөж бүгдийг илгээсэн тул тикетийг хааж байна. 
Шийдсэн Нандинцэцэг April 2, 2026 at 3:12 PM</t>
  </si>
  <si>
    <r>
      <t xml:space="preserve">Доголдол- </t>
    </r>
    <r>
      <rPr>
        <sz val="10"/>
        <color theme="1"/>
        <rFont val="Aptos Narrow"/>
        <family val="2"/>
        <scheme val="minor"/>
      </rPr>
      <t xml:space="preserve">Medium </t>
    </r>
  </si>
  <si>
    <t xml:space="preserve">Мэдээлэл өгсөн- Medium </t>
  </si>
  <si>
    <r>
      <rPr>
        <b/>
        <sz val="11"/>
        <color theme="1"/>
        <rFont val="Aptos Narrow"/>
        <family val="2"/>
        <scheme val="minor"/>
      </rPr>
      <t>TFT-459</t>
    </r>
    <r>
      <rPr>
        <sz val="11"/>
        <color theme="1"/>
        <rFont val="Aptos Narrow"/>
        <family val="2"/>
        <scheme val="minor"/>
      </rPr>
      <t xml:space="preserve"> TFT Нийлүүлэгчийн захиалга VAT-гүй үнээр нийлүүлэгчид очоод байгаа тухай</t>
    </r>
  </si>
  <si>
    <t>Сайжруулалт- Highest</t>
  </si>
  <si>
    <t>IT-5; TFT-11</t>
  </si>
  <si>
    <r>
      <rPr>
        <b/>
        <sz val="11"/>
        <color theme="1"/>
        <rFont val="Aptos Narrow"/>
        <family val="2"/>
        <scheme val="minor"/>
      </rPr>
      <t>DC-464</t>
    </r>
    <r>
      <rPr>
        <sz val="11"/>
        <color theme="1"/>
        <rFont val="Aptos Narrow"/>
        <family val="2"/>
        <scheme val="minor"/>
      </rPr>
      <t xml:space="preserve"> 2026/4/5,6-ний өдрүүдийн орлого үүсээгүй байгаа тул шалгаж өгнө үү. Захиалга болон агуулахын хөдөлгөөн хэвийн хийгдсэн боловч систем дээр орлого үүсэгүй байна. Жишээ болгож нэг franchise салбарын screen-г хавсаргав</t>
    </r>
  </si>
  <si>
    <t>Бусад- High</t>
  </si>
  <si>
    <r>
      <t xml:space="preserve">Уг асуудал нь BC cистемийн асуудал тул request type-г бусад болгон өөрчиллөө. BC систем дээрээс POST хийсэн үү ? BC системээс дата нь орж ирээгүй байна. Өнөөдөр бас 4.5 ны датанууд BC рүү илгээгдээгүй байна гэсэн хүсэлтээр шалгахад BC систем дээрээс алдаа өгөөд дахин гараар бүгдийг илгээсэн. Тэгхээр BC талаас бас шалгулаарай систем дээр нь асуудал гараад POST хийгдэж чадаагүй байж магадгүй. Тикетийг хааж байна. </t>
    </r>
    <r>
      <rPr>
        <b/>
        <sz val="11"/>
        <color rgb="FF292A2E"/>
        <rFont val="Segoe UI"/>
        <family val="2"/>
      </rPr>
      <t xml:space="preserve">Шийдсэн Нандинцэцэг. </t>
    </r>
    <r>
      <rPr>
        <sz val="11"/>
        <color rgb="FF292A2E"/>
        <rFont val="Segoe UI"/>
        <family val="2"/>
      </rPr>
      <t>April 6, 2026 at 2:44 PM</t>
    </r>
  </si>
  <si>
    <r>
      <rPr>
        <b/>
        <sz val="11"/>
        <color theme="1"/>
        <rFont val="Aptos Narrow"/>
        <family val="2"/>
        <scheme val="minor"/>
      </rPr>
      <t>DC-462</t>
    </r>
    <r>
      <rPr>
        <sz val="11"/>
        <color theme="1"/>
        <rFont val="Aptos Narrow"/>
        <family val="2"/>
        <scheme val="minor"/>
      </rPr>
      <t xml:space="preserve"> Дээрх барааны Vendor-ийг HQS болон BC дээр сольж бүртгээд буцаагаад 2026.04.04-ны өдөр зөвөөр нь бүртэгсэн ч өнөөдөр солигдох байх гээд хүлээсэн ч  SMS дээр vendor нь солигдож очихгүй байна үүнийг яаралтай сүүлд сольсоноор нь татуулж өгнө үү.</t>
    </r>
  </si>
  <si>
    <r>
      <t>Доголдол- Highest</t>
    </r>
    <r>
      <rPr>
        <sz val="10"/>
        <color theme="1"/>
        <rFont val="Aptos Narrow"/>
        <family val="2"/>
        <scheme val="minor"/>
      </rPr>
      <t xml:space="preserve"> </t>
    </r>
  </si>
  <si>
    <r>
      <rPr>
        <b/>
        <sz val="11"/>
        <color theme="1"/>
        <rFont val="Aptos Narrow"/>
        <family val="2"/>
        <scheme val="minor"/>
      </rPr>
      <t>Nandintsetseg</t>
    </r>
    <r>
      <rPr>
        <sz val="11"/>
        <color theme="1"/>
        <rFont val="Aptos Narrow"/>
        <family val="2"/>
        <scheme val="minor"/>
      </rPr>
      <t xml:space="preserve"> EAI ajillaagui baina. Tuhain EAI aldaanii log-iig harah gesen bolovch 04.04 -nii eai log file ni root erheer baigaa tul aldaanii log-o bicheegui baina midas user erhtei baih ystoi. EAI ajilluulj mun SMS master batch ajilluulsan. Shalgaarai</t>
    </r>
  </si>
  <si>
    <r>
      <rPr>
        <b/>
        <sz val="11"/>
        <color theme="1"/>
        <rFont val="Aptos Narrow"/>
        <family val="2"/>
        <scheme val="minor"/>
      </rPr>
      <t>DC-465</t>
    </r>
    <r>
      <rPr>
        <sz val="11"/>
        <color theme="1"/>
        <rFont val="Aptos Narrow"/>
        <family val="2"/>
        <scheme val="minor"/>
      </rPr>
      <t xml:space="preserve"> 2026/04/04-04/05-ны өдрийн 220 салбарын 9898 баримтууд BC рүү илгээгдээгүй</t>
    </r>
  </si>
  <si>
    <t xml:space="preserve">Бусад- Medium </t>
  </si>
  <si>
    <r>
      <rPr>
        <b/>
        <sz val="11"/>
        <color theme="1"/>
        <rFont val="Aptos Narrow"/>
        <family val="2"/>
        <scheme val="minor"/>
      </rPr>
      <t>TFT-466</t>
    </r>
    <r>
      <rPr>
        <sz val="11"/>
        <color theme="1"/>
        <rFont val="Aptos Narrow"/>
        <family val="2"/>
        <scheme val="minor"/>
      </rPr>
      <t xml:space="preserve"> TFT Салбар шилжүүлэх төлрийн тооллогыг ажилдаг болгох тухай</t>
    </r>
  </si>
  <si>
    <r>
      <t>Сайжруулалт- Highest</t>
    </r>
    <r>
      <rPr>
        <sz val="10"/>
        <color theme="1"/>
        <rFont val="Aptos Narrow"/>
        <family val="2"/>
        <scheme val="minor"/>
      </rPr>
      <t xml:space="preserve"> </t>
    </r>
  </si>
  <si>
    <r>
      <rPr>
        <b/>
        <sz val="11"/>
        <color theme="1"/>
        <rFont val="Aptos Narrow"/>
        <family val="2"/>
        <scheme val="minor"/>
      </rPr>
      <t>DC-467</t>
    </r>
    <r>
      <rPr>
        <sz val="11"/>
        <color theme="1"/>
        <rFont val="Aptos Narrow"/>
        <family val="2"/>
        <scheme val="minor"/>
      </rPr>
      <t xml:space="preserve"> Тэмдэгтийн тоо нэмүүлэх тухай HQS-inventory-бараа орлого зарлага-худалдан авалт-салбар хоорондын хөдөлгөөний хөдөлгөөний удирдлага</t>
    </r>
  </si>
  <si>
    <t>BC system дээрээс алдаа өгсөн байна. Алдааны мэссэж: Resource not found for the segment 'postransactions'. BC систем дээр алдаа гараад өөр бусад 4.4, 4.5, 4.6 ны датанууд илгээгдээгүй бүх датаг гараар бас илгээсэн нөхцөл байдал гарсан. Тухайн борлуулалтуудыг дахин илгээх төлөвт оруулсан. Илгээгдэж дууссан тул тикетийг хааж байна. Шийдсэн Нандинцэцэг April 6, 2026 at 6:21 PM</t>
  </si>
  <si>
    <r>
      <rPr>
        <b/>
        <sz val="11"/>
        <color theme="1"/>
        <rFont val="Aptos Narrow"/>
        <family val="2"/>
        <scheme val="minor"/>
      </rPr>
      <t xml:space="preserve">Nandintsetseg </t>
    </r>
    <r>
      <rPr>
        <sz val="11"/>
        <color theme="1"/>
        <rFont val="Aptos Narrow"/>
        <family val="2"/>
        <scheme val="minor"/>
      </rPr>
      <t>EAI ajillaagui baina. Tuhain EAI aldaanii log-iig harah gesen bolovch 04.04 -nii eai log file ni root erheer baigaa tul aldaanii log-o bicheegui baina midas user erhtei baih ystoi. EAI ajilluulj mun SMS master batch ajilluulsan. Asuudaliig zassan tul ticketiig haaj baina. Shiidsen Nandintsetseg April 6, 2026 at 11:26 AM</t>
    </r>
  </si>
  <si>
    <r>
      <t xml:space="preserve">Манай талаас энэ асуудалыг дахин гаргахгүй байх тал дээр арга хэмжээ авсан. Мөн манай  талаас тухайн борлуулалтыг ebarimt систем дээрээс буцааж тухайн pos-ууд дээр дахин борлуулалт гаргах санал өгсөн, талууд харилцан тохиролцсоны үндсэн дээр тикетийг хааж байна. Шийдсэн </t>
    </r>
    <r>
      <rPr>
        <b/>
        <sz val="11"/>
        <color theme="1"/>
        <rFont val="Aptos Narrow"/>
        <family val="2"/>
        <scheme val="minor"/>
      </rPr>
      <t>Ариунболд March 16, 2026 at 11:18 AM</t>
    </r>
  </si>
  <si>
    <r>
      <rPr>
        <b/>
        <sz val="11"/>
        <color theme="1"/>
        <rFont val="Aptos Narrow"/>
        <family val="2"/>
        <scheme val="minor"/>
      </rPr>
      <t>DC-468</t>
    </r>
    <r>
      <rPr>
        <sz val="11"/>
        <color theme="1"/>
        <rFont val="Aptos Narrow"/>
        <family val="2"/>
        <scheme val="minor"/>
      </rPr>
      <t xml:space="preserve"> BC систем рүү салбар хоорондын хөдөлгөөн илгээх</t>
    </r>
  </si>
  <si>
    <t xml:space="preserve">Үйлчилгээ үзүүлсэн- Medium </t>
  </si>
  <si>
    <r>
      <rPr>
        <b/>
        <sz val="11"/>
        <color theme="1"/>
        <rFont val="Aptos Narrow"/>
        <family val="2"/>
        <scheme val="minor"/>
      </rPr>
      <t xml:space="preserve">DC-469 </t>
    </r>
    <r>
      <rPr>
        <sz val="11"/>
        <color theme="1"/>
        <rFont val="Aptos Narrow"/>
        <family val="2"/>
        <scheme val="minor"/>
      </rPr>
      <t>Test-ийн BC рүү нийлүүлэгчийн захиалга илгээж өгнө үү</t>
    </r>
  </si>
  <si>
    <t>Үйлчилгээ үзүүлсэн- High</t>
  </si>
  <si>
    <r>
      <rPr>
        <b/>
        <sz val="11"/>
        <color rgb="FF000000"/>
        <rFont val="Aptos Narrow"/>
        <scheme val="minor"/>
      </rPr>
      <t>TFT-472</t>
    </r>
    <r>
      <rPr>
        <sz val="11"/>
        <color rgb="FF000000"/>
        <rFont val="Aptos Narrow"/>
        <scheme val="minor"/>
      </rPr>
      <t xml:space="preserve"> #TFT CL6, CL7, CL8-Change of journal entry processing method for Pay transactions and addition of Happy Pay</t>
    </r>
  </si>
  <si>
    <t>IT-5; TFT-13</t>
  </si>
  <si>
    <r>
      <rPr>
        <b/>
        <sz val="11"/>
        <color theme="1"/>
        <rFont val="Aptos Narrow"/>
        <family val="2"/>
        <scheme val="minor"/>
      </rPr>
      <t>Ariunbold</t>
    </r>
    <r>
      <rPr>
        <sz val="11"/>
        <color theme="1"/>
        <rFont val="Aptos Narrow"/>
        <family val="2"/>
        <scheme val="minor"/>
      </rPr>
      <t xml:space="preserve"> Хөгжүүлэлтийн ажил нь 3 өдөр буюу 24 хүн цаг болохоор байна.
Хийгдэх ажил нь POMailer function дээр нэмэлт хөгжүүлэлтийн ажлууд хийгдэнэ.
 Мөн ямар загвартай имэйл илгээх имэйлийн загварыг илгээж өгнө үү. Мэдээлэл өгсөн тул тикетийг хааж байна. Шийдсэн Ариунболд April 9, 2026 at 3:13 PM</t>
    </r>
  </si>
  <si>
    <r>
      <rPr>
        <b/>
        <sz val="11"/>
        <color rgb="FF000000"/>
        <rFont val="Aptos Narrow"/>
        <scheme val="minor"/>
      </rPr>
      <t>DC-334</t>
    </r>
    <r>
      <rPr>
        <sz val="11"/>
        <color rgb="FF000000"/>
        <rFont val="Aptos Narrow"/>
        <scheme val="minor"/>
      </rPr>
      <t xml:space="preserve"> Dc shop админ лавлагаанууд дээр бүртгэгдэж үлдэхгүй байгаа</t>
    </r>
  </si>
  <si>
    <t xml:space="preserve">Дараах төлбөрт- Medium </t>
  </si>
  <si>
    <t>GS admin панел дээр промо хямдралын дүн харуулах өөрчлөлтийн ажлын хүн цаг
GS app систем дээр промо хямдралын дүн хадгалдаг болох - 6 цаг
GS admin панел дээр шинэ бага нэмэх (Гүйлгээ, DS shop захиалга хуудсын дэлгэрэнгүй, хураангуй) - 5 цаг
Өөрчлөлтийн лог бүртгэх, шаардлагыг засварлах - 2 цаг
Тест хийх - 4 цаг
Бид анх энэ тикетийн хүрээн дээрх ажлуудыг хийхээр дараах төлбөртөөр тохирсон байгаа. Тикетийн хүрээнд энэ ажлууд болсон гэж үзэж байгаа тул хаах саналтай байна. Харин app дээр хямдрал дүн харагдахгүй байгаа асуудлыг тусдаа тикетээр шийдэх саналтай байна.  Ажил эхлэхээс өмнө ажлын даалгавараа процессийнхоо дагуу нягт тохирч байхийг хүсье. Үүссэн app асуудал дээр тусдаа тикет бүртгээд өгөөрэй. Энэ тикетийг хааж байна. Шийдсэн Дөлгөөн April 9, 2026 at 11:57 AM</t>
  </si>
  <si>
    <r>
      <rPr>
        <b/>
        <sz val="11"/>
        <color theme="1"/>
        <rFont val="Aptos Narrow"/>
        <family val="2"/>
        <scheme val="minor"/>
      </rPr>
      <t>TFT-472</t>
    </r>
    <r>
      <rPr>
        <sz val="11"/>
        <color theme="1"/>
        <rFont val="Aptos Narrow"/>
        <family val="2"/>
        <scheme val="minor"/>
      </rPr>
      <t xml:space="preserve"> #TFT CL6, CL7, CL8-Change of journal entry processing method for Pay transactions and addition of Happy Pay</t>
    </r>
  </si>
  <si>
    <r>
      <rPr>
        <b/>
        <sz val="11"/>
        <color theme="1"/>
        <rFont val="Aptos Narrow"/>
        <family val="2"/>
        <scheme val="minor"/>
      </rPr>
      <t xml:space="preserve">TFT-473 </t>
    </r>
    <r>
      <rPr>
        <sz val="11"/>
        <color theme="1"/>
        <rFont val="Aptos Narrow"/>
        <family val="2"/>
        <scheme val="minor"/>
      </rPr>
      <t>TFT HQS&gt;Franchise&gt;Master&gt;Франчайз салбарын удирдах нөхцөл цонх</t>
    </r>
  </si>
  <si>
    <t>Сайжруулалт- Medium</t>
  </si>
  <si>
    <t>IT-3; TFT-13</t>
  </si>
  <si>
    <r>
      <rPr>
        <b/>
        <sz val="11"/>
        <color theme="1"/>
        <rFont val="Aptos Narrow"/>
        <family val="2"/>
        <scheme val="minor"/>
      </rPr>
      <t>TFT-345</t>
    </r>
    <r>
      <rPr>
        <sz val="11"/>
        <color theme="1"/>
        <rFont val="Aptos Narrow"/>
        <family val="2"/>
        <scheme val="minor"/>
      </rPr>
      <t xml:space="preserve"> HQS &gt; Logistics &gt; Бараа нийлүүлэх хуваарын огноог тооцоолохтой холбоотой өөрчлөлт</t>
    </r>
  </si>
  <si>
    <r>
      <rPr>
        <b/>
        <sz val="11"/>
        <color theme="1"/>
        <rFont val="Aptos Narrow"/>
        <family val="2"/>
        <scheme val="minor"/>
      </rPr>
      <t>Nandintsetseg</t>
    </r>
    <r>
      <rPr>
        <sz val="11"/>
        <color theme="1"/>
        <rFont val="Aptos Narrow"/>
        <family val="2"/>
        <scheme val="minor"/>
      </rPr>
      <t xml:space="preserve">  Prod orchind oruulsan. Shiidsen Nandintsetseg April 9, 2026 at 10:37 AM </t>
    </r>
  </si>
  <si>
    <r>
      <rPr>
        <b/>
        <sz val="11"/>
        <color theme="1"/>
        <rFont val="Aptos Narrow"/>
        <family val="2"/>
        <scheme val="minor"/>
      </rPr>
      <t>DC-334</t>
    </r>
    <r>
      <rPr>
        <sz val="11"/>
        <color theme="1"/>
        <rFont val="Aptos Narrow"/>
        <family val="2"/>
        <scheme val="minor"/>
      </rPr>
      <t xml:space="preserve"> Dc shop админ лавлагаанууд дээр бүртгэгдэж үлдэхгүй байгаа</t>
    </r>
  </si>
  <si>
    <r>
      <t xml:space="preserve">Дараах төлбөрт- </t>
    </r>
    <r>
      <rPr>
        <sz val="10"/>
        <color theme="1"/>
        <rFont val="Aptos Narrow"/>
        <family val="2"/>
        <scheme val="minor"/>
      </rPr>
      <t xml:space="preserve">Medium </t>
    </r>
  </si>
  <si>
    <r>
      <rPr>
        <b/>
        <sz val="11"/>
        <color theme="1"/>
        <rFont val="Aptos Narrow"/>
        <family val="2"/>
        <scheme val="minor"/>
      </rPr>
      <t>Nandintsetseg</t>
    </r>
    <r>
      <rPr>
        <sz val="11"/>
        <color theme="1"/>
        <rFont val="Aptos Narrow"/>
        <family val="2"/>
        <scheme val="minor"/>
      </rPr>
      <t xml:space="preserve"> Prod орчинруу илгээсэн. Шалгаад асуудалгүй байсан тул тикетийг хааж байна. Шийдсэн Нандинцэцэг April 9, 2026 at 12:00 PM</t>
    </r>
  </si>
  <si>
    <r>
      <rPr>
        <b/>
        <sz val="11"/>
        <color theme="1"/>
        <rFont val="Aptos Narrow"/>
        <family val="2"/>
        <scheme val="minor"/>
      </rPr>
      <t>Nandintsetseg</t>
    </r>
    <r>
      <rPr>
        <sz val="11"/>
        <color theme="1"/>
        <rFont val="Aptos Narrow"/>
        <family val="2"/>
        <scheme val="minor"/>
      </rPr>
      <t xml:space="preserve"> Prod руу датаг илгээсэн таарсан тул тикетийг хааж байна. </t>
    </r>
    <r>
      <rPr>
        <b/>
        <sz val="11"/>
        <color theme="1"/>
        <rFont val="Aptos Narrow"/>
        <family val="2"/>
        <scheme val="minor"/>
      </rPr>
      <t>Шийдсэн Нандинцэцэг</t>
    </r>
  </si>
  <si>
    <r>
      <rPr>
        <b/>
        <sz val="11"/>
        <color theme="1"/>
        <rFont val="Aptos Narrow"/>
        <family val="2"/>
        <scheme val="minor"/>
      </rPr>
      <t xml:space="preserve">Nandintsetseg  </t>
    </r>
    <r>
      <rPr>
        <sz val="11"/>
        <color theme="1"/>
        <rFont val="Aptos Narrow"/>
        <family val="2"/>
        <scheme val="minor"/>
      </rPr>
      <t xml:space="preserve">Датаг устгасан эрсдэлийн хэмжээ бага тул датаг устгалаа. </t>
    </r>
  </si>
  <si>
    <t>IT-7; TFT-13</t>
  </si>
  <si>
    <t xml:space="preserve">Тэмдэгтийн тоо нэмэгдсэн Шийдсэн Нандинцэцэг Түвшинжаргал </t>
  </si>
  <si>
    <r>
      <rPr>
        <b/>
        <sz val="11"/>
        <color theme="1"/>
        <rFont val="Aptos Narrow"/>
        <family val="2"/>
        <scheme val="minor"/>
      </rPr>
      <t>TFT-487</t>
    </r>
    <r>
      <rPr>
        <sz val="11"/>
        <color theme="1"/>
        <rFont val="Aptos Narrow"/>
        <family val="2"/>
        <scheme val="minor"/>
      </rPr>
      <t xml:space="preserve"> TFT #CL13 Тооцоо нийлсэн тайлан хэвлэх&gt;Төлбөр тооцооний нэгтгэл хүснэгт</t>
    </r>
  </si>
  <si>
    <r>
      <t xml:space="preserve">Сайжруулалт- Medium </t>
    </r>
    <r>
      <rPr>
        <sz val="10"/>
        <color theme="1"/>
        <rFont val="Aptos Narrow"/>
        <family val="2"/>
        <scheme val="minor"/>
      </rPr>
      <t xml:space="preserve"> </t>
    </r>
  </si>
  <si>
    <r>
      <rPr>
        <b/>
        <sz val="11"/>
        <color theme="1"/>
        <rFont val="Aptos Narrow"/>
        <family val="2"/>
        <scheme val="minor"/>
      </rPr>
      <t>TFT-486</t>
    </r>
    <r>
      <rPr>
        <sz val="11"/>
        <color theme="1"/>
        <rFont val="Aptos Narrow"/>
        <family val="2"/>
        <scheme val="minor"/>
      </rPr>
      <t xml:space="preserve"> TFT #CL14 Тооцоо нийлсэн тайлан хэвлэх&gt;Кредит харьцуулалтын хүснэгт</t>
    </r>
  </si>
  <si>
    <r>
      <t xml:space="preserve">Сайжруулалт- High </t>
    </r>
    <r>
      <rPr>
        <sz val="10"/>
        <color theme="1"/>
        <rFont val="Aptos Narrow"/>
        <family val="2"/>
        <scheme val="minor"/>
      </rPr>
      <t xml:space="preserve"> </t>
    </r>
  </si>
  <si>
    <r>
      <rPr>
        <b/>
        <sz val="11"/>
        <color theme="1"/>
        <rFont val="Aptos Narrow"/>
        <family val="2"/>
        <scheme val="minor"/>
      </rPr>
      <t xml:space="preserve">DC-485 </t>
    </r>
    <r>
      <rPr>
        <sz val="11"/>
        <color theme="1"/>
        <rFont val="Aptos Narrow"/>
        <family val="2"/>
        <scheme val="minor"/>
      </rPr>
      <t>HQS&gt;Inventory&gt;Худалдан авалт&gt; Орлого үр дүнгийн жагсаалтын удирдлага, Орлогын үр дүнгийн жагсаалтын удирдлагын нэгтгэл</t>
    </r>
  </si>
  <si>
    <r>
      <rPr>
        <b/>
        <sz val="11"/>
        <color theme="1"/>
        <rFont val="Aptos Narrow"/>
        <family val="2"/>
        <scheme val="minor"/>
      </rPr>
      <t xml:space="preserve">DC-484  </t>
    </r>
    <r>
      <rPr>
        <sz val="11"/>
        <color theme="1"/>
        <rFont val="Aptos Narrow"/>
        <family val="2"/>
        <scheme val="minor"/>
      </rPr>
      <t>4сарын 9 -ны 2 салбарын 2 баримт BC рүү илгээгдээгүй</t>
    </r>
  </si>
  <si>
    <t>DC- c хариу хүлээж байна</t>
  </si>
  <si>
    <r>
      <rPr>
        <b/>
        <sz val="11"/>
        <color theme="1"/>
        <rFont val="Aptos Narrow"/>
        <family val="2"/>
        <scheme val="minor"/>
      </rPr>
      <t>DC-483</t>
    </r>
    <r>
      <rPr>
        <sz val="11"/>
        <color theme="1"/>
        <rFont val="Aptos Narrow"/>
        <family val="2"/>
        <scheme val="minor"/>
      </rPr>
      <t xml:space="preserve"> LMS-voucher transactions хэсэг</t>
    </r>
  </si>
  <si>
    <r>
      <t xml:space="preserve">Доголдол- Medium </t>
    </r>
    <r>
      <rPr>
        <sz val="10"/>
        <color theme="1"/>
        <rFont val="Aptos Narrow"/>
        <family val="2"/>
        <scheme val="minor"/>
      </rPr>
      <t xml:space="preserve"> </t>
    </r>
  </si>
  <si>
    <t>LMS team рүү шалгах хүсэлт өгсөн</t>
  </si>
  <si>
    <r>
      <rPr>
        <b/>
        <sz val="11"/>
        <color theme="1"/>
        <rFont val="Aptos Narrow"/>
        <family val="2"/>
        <scheme val="minor"/>
      </rPr>
      <t>DC-482</t>
    </r>
    <r>
      <rPr>
        <sz val="11"/>
        <color theme="1"/>
        <rFont val="Aptos Narrow"/>
        <family val="2"/>
        <scheme val="minor"/>
      </rPr>
      <t xml:space="preserve"> LMS-Campaign -нийт оролцсон хэрэглэгчдийн тоо багана</t>
    </r>
  </si>
  <si>
    <r>
      <rPr>
        <b/>
        <sz val="11"/>
        <color theme="1"/>
        <rFont val="Aptos Narrow"/>
        <family val="2"/>
        <scheme val="minor"/>
      </rPr>
      <t>DC-481</t>
    </r>
    <r>
      <rPr>
        <sz val="11"/>
        <color theme="1"/>
        <rFont val="Aptos Narrow"/>
        <family val="2"/>
        <scheme val="minor"/>
      </rPr>
      <t xml:space="preserve"> HQS&gt;Item&gt; Байршлаар борлуулах удирдлага&gt;Байршлаар борлуулбах салбарын удирдлага</t>
    </r>
  </si>
  <si>
    <r>
      <t>Доголдол- High</t>
    </r>
    <r>
      <rPr>
        <sz val="10"/>
        <color theme="1"/>
        <rFont val="Aptos Narrow"/>
        <family val="2"/>
        <scheme val="minor"/>
      </rPr>
      <t xml:space="preserve"> </t>
    </r>
  </si>
  <si>
    <r>
      <rPr>
        <b/>
        <sz val="11"/>
        <color theme="1"/>
        <rFont val="Aptos Narrow"/>
        <family val="2"/>
        <scheme val="minor"/>
      </rPr>
      <t xml:space="preserve">DC-479 </t>
    </r>
    <r>
      <rPr>
        <sz val="11"/>
        <color theme="1"/>
        <rFont val="Aptos Narrow"/>
        <family val="2"/>
        <scheme val="minor"/>
      </rPr>
      <t xml:space="preserve"> LMS cron job</t>
    </r>
  </si>
  <si>
    <r>
      <rPr>
        <b/>
        <sz val="11"/>
        <color theme="1"/>
        <rFont val="Aptos Narrow"/>
        <family val="2"/>
        <scheme val="minor"/>
      </rPr>
      <t>DC-478</t>
    </r>
    <r>
      <rPr>
        <sz val="11"/>
        <color theme="1"/>
        <rFont val="Aptos Narrow"/>
        <family val="2"/>
        <scheme val="minor"/>
      </rPr>
      <t xml:space="preserve"> 4сарын 8-9 ны franchise 3салбарын 3 баримт BC рүү илгээгдээгүй</t>
    </r>
  </si>
  <si>
    <t>IT-5; TFT-14</t>
  </si>
  <si>
    <r>
      <rPr>
        <b/>
        <sz val="11"/>
        <color theme="1"/>
        <rFont val="Aptos Narrow"/>
        <family val="2"/>
        <scheme val="minor"/>
      </rPr>
      <t>Nandintsetseg</t>
    </r>
    <r>
      <rPr>
        <sz val="11"/>
        <color theme="1"/>
        <rFont val="Aptos Narrow"/>
        <family val="2"/>
        <scheme val="minor"/>
      </rPr>
      <t>"The operation could not be completed. Please try again later.
You experienced intermittent database connectivity issues. This could have happened because we rebalanced your resources to provide you with a better experience. If the issue continues, please contact your system administrator.  CorrelationId:  0aedad7d-b184-4621-8c42-9e4ca87e9022."
"The operation could not be completed. Please try again later.
You experienced intermittent database connectivity issues. This could have happened because we rebalanced your resources to provide you with a better experience. If the issue continues, please contact your system administrator.  CorrelationId:  9d576732-6bf9-40ec-8ae7-8aef1ced4b53."
BC-ees deerh 2 aldaa uguud ilgeej chadaagui baina. Dahin ilgeesen tul ticketiig haaj bna. Shiidsen Nandintsetseg April 13, 2026 at 3:55 PM</t>
    </r>
  </si>
  <si>
    <t>Nandintsetseg "The operation could not be completed. Please try again later.You experienced intermittent database connectivity issues. This could have happened because we rebalanced your resources to provide you with a better experience. If the issue continues, please contact your system administrator.  CorrelationId:  0f053ac2-1cfa-4770-b817-61b17bf59499."
"The operation could not be completed. Please try again later.
You experienced intermittent database connectivity issues. This could have happened because we rebalanced your resources to provide you with a better experience. If the issue continues, please contact your system administrator.  CorrelationId:  3cc9cfa1-2ba9-4aa0-b57b-5e481601b271."
 The record in table Transaction Header already exists. Identification fields and values: Store No.='V5161',POS Terminal No.='T5161',Transaction No.='179576'  CorrelationId:  f621e525-c753-4496-9c6b-fdcc647bbe6c.
 Дээрх алдаануудыг BC системээс авсан байна. Дахин илгээсэн тул тикетийг хааж байна. Шийдсэн Нандинцэцэг April 13, 2026 at 11:02 AM</t>
  </si>
  <si>
    <r>
      <rPr>
        <b/>
        <sz val="11"/>
        <color theme="1"/>
        <rFont val="Aptos Narrow"/>
        <family val="2"/>
        <scheme val="minor"/>
      </rPr>
      <t xml:space="preserve">DC-489 </t>
    </r>
    <r>
      <rPr>
        <sz val="11"/>
        <color theme="1"/>
        <rFont val="Aptos Narrow"/>
        <family val="2"/>
        <scheme val="minor"/>
      </rPr>
      <t>Борлуулсан тоогоор орлого үүссэн / хөдөлгөөн BC-с нөхөж орж ирсэн/</t>
    </r>
  </si>
  <si>
    <r>
      <t xml:space="preserve">DC 10:02минутанд screenshot хийж авсан. ZT 10:40 минутанд шалгахад хэвийн байсан. Batch нөхөж ажилласан тул тикетийг хааж байна. </t>
    </r>
    <r>
      <rPr>
        <b/>
        <sz val="11"/>
        <color rgb="FF292A2E"/>
        <rFont val="Atlassian Sans"/>
        <charset val="1"/>
      </rPr>
      <t>Шийдсэн Хулан April 14, 2026 at 10:40 AM</t>
    </r>
  </si>
  <si>
    <r>
      <rPr>
        <b/>
        <sz val="11"/>
        <color rgb="FF000000"/>
        <rFont val="Aptos Narrow"/>
        <scheme val="minor"/>
      </rPr>
      <t>Nandintsetseg</t>
    </r>
    <r>
      <rPr>
        <sz val="11"/>
        <color rgb="FF000000"/>
        <rFont val="Aptos Narrow"/>
        <scheme val="minor"/>
      </rPr>
      <t xml:space="preserve"> Ямар нэгэн лицензтэй бол устгах шинээр нэмэх товчнууд нь идэвхгүй байдаг юм байна. 1137 хувьд “Согтууруулах ундаа худалдаалах тусгай зөвшөөрөл” гэсэн лицензтэй байна. Энэхүү тикетийг Мэдээлэл өгснөөр солих хүсэлтэй байна.License-г нь авж болохгүй байх аа. license-tei license-gui addRow, delRow хоёрыг идэвхитэй болгож болно. Гэхдээ цаашаа олон зүйлд нөлөөлдөг байх. Яагаад лифензтэй үед устгаж эсвэл шинээр нэмж болдоггүй бизнес процесийг нь GSR-аас асуугаад хариу өгөөрэй. 2 тал харилцан тохиролцож уг тикетийг хаалаа. Шийдсэн Нандинцэцэг April 13, 2026 at 7:24 PM</t>
    </r>
  </si>
  <si>
    <r>
      <rPr>
        <b/>
        <sz val="11"/>
        <color theme="1"/>
        <rFont val="Aptos Narrow"/>
        <family val="2"/>
        <scheme val="minor"/>
      </rPr>
      <t xml:space="preserve">TFT-488 </t>
    </r>
    <r>
      <rPr>
        <sz val="11"/>
        <color theme="1"/>
        <rFont val="Aptos Narrow"/>
        <family val="2"/>
        <scheme val="minor"/>
      </rPr>
      <t>TFT #A7 Fixed an issue where the purchase date was incorrectly saved during SMS inbound processing</t>
    </r>
  </si>
  <si>
    <r>
      <rPr>
        <b/>
        <sz val="11"/>
        <color rgb="FF000000"/>
        <rFont val="Aptos Narrow"/>
        <scheme val="minor"/>
      </rPr>
      <t xml:space="preserve">DC-490 </t>
    </r>
    <r>
      <rPr>
        <sz val="11"/>
        <color rgb="FF000000"/>
        <rFont val="Aptos Narrow"/>
        <scheme val="minor"/>
      </rPr>
      <t>Шинэ салбарын захиалга тохиуруулсан өдөртөө хийгдэхгүй байгаа тухай</t>
    </r>
  </si>
  <si>
    <r>
      <rPr>
        <b/>
        <sz val="11"/>
        <color rgb="FF000000"/>
        <rFont val="Aptos Narrow"/>
        <scheme val="minor"/>
      </rPr>
      <t>TFT-491</t>
    </r>
    <r>
      <rPr>
        <sz val="11"/>
        <color rgb="FF000000"/>
        <rFont val="Aptos Narrow"/>
        <scheme val="minor"/>
      </rPr>
      <t xml:space="preserve"> TFT # store order type DATA Intersection request</t>
    </r>
  </si>
  <si>
    <t>April 15, 2026 at 2:42 PM Nandintsetseg
Margaash 11 tsagt ehliy.</t>
  </si>
  <si>
    <t>IT-4; TFT-14</t>
  </si>
  <si>
    <r>
      <rPr>
        <b/>
        <sz val="11"/>
        <color rgb="FF000000"/>
        <rFont val="Aptos Narrow"/>
        <scheme val="minor"/>
      </rPr>
      <t xml:space="preserve">TFT-194 </t>
    </r>
    <r>
      <rPr>
        <sz val="11"/>
        <color rgb="FF000000"/>
        <rFont val="Aptos Narrow"/>
        <scheme val="minor"/>
      </rPr>
      <t>Мастерт шинэ бараа бүртгэхэд SMS барааны мастерт байршуулах чекийг гараар хийж байгаа тухай</t>
    </r>
  </si>
  <si>
    <t>Мэдээлэл өгсөн- High</t>
  </si>
  <si>
    <t>Nandintsetseg Лангуун дээр бараа бүртгэдэг цонхнуудаас “tmp“ гэсэн лангууг хасуулах шинэ тикет үүсгээд өгөөрэй. Энэ тикетийг хааж байна. Шийдсэн Нандинцэцэг April 8, 2026 at 5:10 PM</t>
  </si>
  <si>
    <t>Nandintsetseg
Өглөөний мэнд. BC-гээс ПОСТ хийгдээд ороод ирсэн байна. Daemon буюу real time ажилладаг батч нь ажиллаагүй байна. Нэг хэсэг тестийн серверийн багтаамж дүүрээд батчууд зогссон байсан тэрнээс болоод зогссон байсан байх. Бид бүх real time ажилладаг батчуудыг олоод ажиллуулж чадахгүй тул тухай тухайн цагт нь олж илрүүлж ажиллуулах юм аа. Одоо нэг ажиллуулчихсан болхоор цаашдаа хэвийн ажиллана аа. 2 тал харилцан тохиролцсоны хүрээнд тикетийг хааж байна. April 14, 2026 at 10:36 AM Шийдсэн Нандинцэцэг</t>
  </si>
  <si>
    <t>Nandintsetseg
Бүх EAI, батч жобуудын ажиллагаа хэвийн ажиллсан байна. Тухайн цаг үед датабаазын холболт тасарснаас rollback хийгдэж зөв датаг оруулаагүй байна. Зөв утгуудыг оруулсан. Шийдсэн Нандинцэцэг April 14, 2026 at 5:36 PM</t>
  </si>
  <si>
    <t>Tuvshinjargal
Хөгжүүлэлт хийсэн кодуудыг харьцуулж харахад одоогийн харагдаж буй зурган үр дүн байх нь зөв байна. Шийдсэн Түвшинжаргал April 14, 2026 at 10:08 AM</t>
  </si>
  <si>
    <t xml:space="preserve">Nandintsetseg Odbaatar  April 15, 2026 at 3:59 PM Uurchlultig Production orchind oruulsan
</t>
  </si>
  <si>
    <r>
      <rPr>
        <b/>
        <sz val="11"/>
        <color rgb="FF000000"/>
        <rFont val="Aptos Narrow"/>
        <scheme val="minor"/>
      </rPr>
      <t>DC-493</t>
    </r>
    <r>
      <rPr>
        <sz val="11"/>
        <color rgb="FF000000"/>
        <rFont val="Aptos Narrow"/>
        <scheme val="minor"/>
      </rPr>
      <t xml:space="preserve"> GP дээр хийсэн барааны үнийн өөрчлөлт BC дээр орж ирээгүй</t>
    </r>
  </si>
  <si>
    <t>Өмнөх vat-гүй өөрчлөлтөөр духайн BC рүү илгээдэг жобыг унтрааж байгаад илгээсэн юм. Буцаагаад асаагййгүй үлдээсэн байна folded hands . Жобыг асаасан. Илгээгдсэн байна шалгаад өгөөрэй.</t>
  </si>
  <si>
    <r>
      <rPr>
        <b/>
        <sz val="11"/>
        <color rgb="FF000000"/>
        <rFont val="Aptos Narrow"/>
        <scheme val="minor"/>
      </rPr>
      <t xml:space="preserve">DC-485 </t>
    </r>
    <r>
      <rPr>
        <sz val="11"/>
        <color rgb="FF000000"/>
        <rFont val="Aptos Narrow"/>
        <scheme val="minor"/>
      </rPr>
      <t>HQS&gt;Inventory&gt;Худалдан авалт&gt; Орлого үр дүнгийн жагсаалтын удирдлага, Орлогын үр дүнгийн жагсаалтын удирдлагын нэгтгэл</t>
    </r>
  </si>
  <si>
    <r>
      <rPr>
        <b/>
        <sz val="11"/>
        <color rgb="FF000000"/>
        <rFont val="Aptos Narrow"/>
        <scheme val="minor"/>
      </rPr>
      <t>TFT-496</t>
    </r>
    <r>
      <rPr>
        <sz val="11"/>
        <color rgb="FF000000"/>
        <rFont val="Aptos Narrow"/>
        <scheme val="minor"/>
      </rPr>
      <t xml:space="preserve"> TFT 2026.03 franchise settlement</t>
    </r>
  </si>
  <si>
    <t>Settlement ажилуулсан.</t>
  </si>
  <si>
    <t>Өмнөх vat-гүй өөрчлөлтөөр духайн BC рүү илгээдэг жобыг унтрааж байгаад илгээсэн юм. Буцаагаад асаагаагүй үлдээсэн байна folded hands . Жобыг асаасан. Илгээгдсэн байна шалгаад өгөөрэй.</t>
  </si>
  <si>
    <r>
      <rPr>
        <b/>
        <sz val="11"/>
        <color rgb="FF000000"/>
        <rFont val="Aptos Narrow"/>
        <scheme val="minor"/>
      </rPr>
      <t>TFT-466</t>
    </r>
    <r>
      <rPr>
        <sz val="11"/>
        <color rgb="FF000000"/>
        <rFont val="Aptos Narrow"/>
        <scheme val="minor"/>
      </rPr>
      <t xml:space="preserve"> TFT Салбар шилжүүлэх төлрийн тооллогыг ажилдаг болгох тухай</t>
    </r>
  </si>
  <si>
    <r>
      <rPr>
        <sz val="11"/>
        <color rgb="FF000000"/>
        <rFont val="Aptos Narrow"/>
        <scheme val="minor"/>
      </rPr>
      <t>Мэдээлэл өгсөн- Highest</t>
    </r>
    <r>
      <rPr>
        <sz val="10"/>
        <color rgb="FF000000"/>
        <rFont val="Aptos Narrow"/>
        <scheme val="minor"/>
      </rPr>
      <t xml:space="preserve"> </t>
    </r>
  </si>
  <si>
    <t>Nandintsetseg  Угаасаа ажилладаг юм байна. Харин ямар үед ажилладаг вэ гэхээр:
Салбарын close_dt буюу хаагдах огноо нь inventory date буюу тохиргоо цонхон дээр гарч ирж байгаа OFC нэр зэргийг оруулдаг өдөртэйгөө тэнцүү тохиолдолд эзэмшигч солих гэсэн нь сонгогддог юм байна шүү.
Тиймээс тикетийг мэдээлэл өгсөн болгон хааж байна</t>
  </si>
  <si>
    <r>
      <rPr>
        <b/>
        <sz val="11"/>
        <color rgb="FF000000"/>
        <rFont val="Aptos Narrow"/>
        <scheme val="minor"/>
      </rPr>
      <t xml:space="preserve">TFT-415 </t>
    </r>
    <r>
      <rPr>
        <sz val="11"/>
        <color rgb="FF000000"/>
        <rFont val="Aptos Narrow"/>
        <scheme val="minor"/>
      </rPr>
      <t>TFT A3-Restore HQS email sending program-HQS имэйл илгээх програмыг сэргээх</t>
    </r>
  </si>
  <si>
    <t>Сайжруулалт - High</t>
  </si>
  <si>
    <t>Nandintsetseg
Өөрчлөлтүүдийг Продакшн орчинд оруулсан тул тикетийг хааж байна.</t>
  </si>
  <si>
    <r>
      <rPr>
        <b/>
        <sz val="11"/>
        <color rgb="FF000000"/>
        <rFont val="Aptos Narrow"/>
        <scheme val="minor"/>
      </rPr>
      <t xml:space="preserve">DC-374 </t>
    </r>
    <r>
      <rPr>
        <sz val="11"/>
        <color rgb="FF000000"/>
        <rFont val="Aptos Narrow"/>
        <scheme val="minor"/>
      </rPr>
      <t>Хуримтлуулсан оноо, зарцуулсан оноонуудын гүйлгээний нийт дүн таарахгүй байгаа</t>
    </r>
  </si>
  <si>
    <t>Enkhtuvshin Энэ ажлын хүрээнд хэт их дата Monthly cronjob ачааллаа дийлэхгүй унаад ажиллахгүй байснийг зассан. Гэвч датаны дүн 0 болоогүй 10 мянга дотор зөрүүтэй байсан. Дата зөрсөн шалтгаан нь тулгаж буй 2 цонхны ажиллаж буй цагийн зөрүүнээс шалтгаалсан болно. Уг асуудал бүрэн зассагдсан тул тикетийг хааж байна. Шийдсэн Энхтүвшин April 17, 2026 at 11:41 AM</t>
  </si>
  <si>
    <r>
      <rPr>
        <b/>
        <sz val="11"/>
        <color rgb="FF000000"/>
        <rFont val="Aptos Narrow"/>
        <scheme val="minor"/>
      </rPr>
      <t>DC-498</t>
    </r>
    <r>
      <rPr>
        <sz val="11"/>
        <color rgb="FF000000"/>
        <rFont val="Aptos Narrow"/>
        <scheme val="minor"/>
      </rPr>
      <t xml:space="preserve"> Орлого үүсэгүй тул шалгаж өгнө үү</t>
    </r>
  </si>
  <si>
    <t>GP-ийн batch унших цагаас өмнө шалгаад орлого нь харагдахгүй байсан байж магад. Тикет үүсгэсэн огноогоор  шалгахад бүх агуулахын орлого дэлгүүрийн захиалгынхаа дагуу бүрэн орж ирж орлого үүссэн байгаа тул тикетийг мэдээлэл өгсөн төрөлтэй болгон хааж байна. Шийдсэн Хулан April 17, 2026 at 3:36 PM</t>
  </si>
  <si>
    <r>
      <rPr>
        <b/>
        <sz val="11"/>
        <color rgb="FF000000"/>
        <rFont val="Aptos Narrow"/>
        <scheme val="minor"/>
      </rPr>
      <t>DC-483</t>
    </r>
    <r>
      <rPr>
        <sz val="11"/>
        <color rgb="FF000000"/>
        <rFont val="Aptos Narrow"/>
        <scheme val="minor"/>
      </rPr>
      <t xml:space="preserve"> LMS-voucher transactions хэсэг</t>
    </r>
  </si>
  <si>
    <t xml:space="preserve">System </t>
  </si>
  <si>
    <t>IT-7; TFT-6</t>
  </si>
  <si>
    <t>GP-SMS</t>
  </si>
  <si>
    <r>
      <rPr>
        <b/>
        <sz val="11"/>
        <color rgb="FF000000"/>
        <rFont val="Aptos Narrow"/>
        <scheme val="minor"/>
      </rPr>
      <t xml:space="preserve">DC-499 </t>
    </r>
    <r>
      <rPr>
        <sz val="11"/>
        <color rgb="FF000000"/>
        <rFont val="Aptos Narrow"/>
        <scheme val="minor"/>
      </rPr>
      <t>Лангуун дээр бараа бүртгэх үед гарч буй алдааг шалгуулах тухай</t>
    </r>
  </si>
  <si>
    <r>
      <rPr>
        <b/>
        <sz val="11"/>
        <color rgb="FF000000"/>
        <rFont val="Aptos Narrow"/>
        <scheme val="minor"/>
      </rPr>
      <t>DC-501</t>
    </r>
    <r>
      <rPr>
        <sz val="11"/>
        <color rgb="FF000000"/>
        <rFont val="Aptos Narrow"/>
        <scheme val="minor"/>
      </rPr>
      <t xml:space="preserve"> Үнийн цаас хэвлэж болохгүй байгаа тухай</t>
    </r>
  </si>
  <si>
    <t>GP DATABASE</t>
  </si>
  <si>
    <t>Үйлчилгээ үзүүлсэн - High</t>
  </si>
  <si>
    <r>
      <rPr>
        <sz val="11"/>
        <color rgb="FF000000"/>
        <rFont val="Aptos Narrow"/>
        <scheme val="minor"/>
      </rPr>
      <t xml:space="preserve">Fra settlement ажилуулсан үүнд гарсан асуудал байхгүй бол тикетийг хааж байна. </t>
    </r>
    <r>
      <rPr>
        <b/>
        <sz val="11"/>
        <color rgb="FF000000"/>
        <rFont val="Aptos Narrow"/>
        <scheme val="minor"/>
      </rPr>
      <t>Шийдсэн Нандинцэцэг April 16, 2026 at 1:21 PM</t>
    </r>
  </si>
  <si>
    <t>GP</t>
  </si>
  <si>
    <r>
      <rPr>
        <b/>
        <sz val="11"/>
        <color rgb="FF000000"/>
        <rFont val="Aptos Narrow"/>
        <scheme val="minor"/>
      </rPr>
      <t>TFT-410</t>
    </r>
    <r>
      <rPr>
        <sz val="11"/>
        <color rgb="FF000000"/>
        <rFont val="Aptos Narrow"/>
        <scheme val="minor"/>
      </rPr>
      <t xml:space="preserve"> TFT #A2-Fix installation page error</t>
    </r>
  </si>
  <si>
    <r>
      <rPr>
        <sz val="11"/>
        <color rgb="FF000000"/>
        <rFont val="Aptos Narrow"/>
        <scheme val="minor"/>
      </rPr>
      <t xml:space="preserve">Anarmun
Tuhain ulaanaar todruulsan n suutsan uedee idevhigui bolood baih magadlaltai. Ene ticket iig TFT bagaas iruulsen zaavriin daguur uurchlultuudiig oruulsan baigaa. Tuhain uurchlultud goliin button buyu ulaanaar todruulsan button ch gsen orson baigaa ba tataj bolohgui bval uur asuudal baih magadlaltai tul TFT bagt handana uu. Ticketiig haaj bna. </t>
    </r>
    <r>
      <rPr>
        <b/>
        <sz val="11"/>
        <color rgb="FF000000"/>
        <rFont val="Aptos Narrow"/>
        <scheme val="minor"/>
      </rPr>
      <t xml:space="preserve">Shiidsen Anarmun  March 18, 2026 at 4:33 PM
</t>
    </r>
    <r>
      <rPr>
        <sz val="11"/>
        <color rgb="FF000000"/>
        <rFont val="Aptos Narrow"/>
        <scheme val="minor"/>
      </rPr>
      <t xml:space="preserve">
DC comment  Энэ дээр Kareem болон ZT ээс аль нь ч хариу өгөөгүй ба дээрх link-үүд дээр дараад install хийхэд систем бүрэн суургүй байгаа. Энэ тикетийг хаагаад Kareem-аас нэмэлт заавар ирсэн үед reopen хийх саналтай.</t>
    </r>
  </si>
  <si>
    <t>GP-HQ</t>
  </si>
  <si>
    <r>
      <rPr>
        <b/>
        <sz val="11"/>
        <color rgb="FF000000"/>
        <rFont val="Aptos Narrow"/>
        <scheme val="minor"/>
      </rPr>
      <t>TFT-429</t>
    </r>
    <r>
      <rPr>
        <sz val="11"/>
        <color rgb="FF000000"/>
        <rFont val="Aptos Narrow"/>
        <scheme val="minor"/>
      </rPr>
      <t xml:space="preserve"> TFT #Monthly closing process</t>
    </r>
  </si>
  <si>
    <t xml:space="preserve">Сайжруулалт - Medium  </t>
  </si>
  <si>
    <r>
      <rPr>
        <sz val="11"/>
        <color rgb="FF000000"/>
        <rFont val="Aptos Narrow"/>
        <scheme val="minor"/>
      </rPr>
      <t xml:space="preserve">Nandintsetseg Odbaatar  Продакшн орчинд энэхүү өөрчлөлт орсон. 3 сарын хаалт хийхэд энэхүү өөрчлөлт орсон байсан. Тикетийг хааж байна. </t>
    </r>
    <r>
      <rPr>
        <b/>
        <sz val="11"/>
        <color rgb="FF000000"/>
        <rFont val="Aptos Narrow"/>
        <scheme val="minor"/>
      </rPr>
      <t>Шийдсэн Нандинцэцэг April 16, 2026 at 1:20</t>
    </r>
  </si>
  <si>
    <r>
      <rPr>
        <b/>
        <sz val="11"/>
        <color rgb="FF000000"/>
        <rFont val="Aptos Narrow"/>
        <scheme val="minor"/>
      </rPr>
      <t>TFT-488</t>
    </r>
    <r>
      <rPr>
        <sz val="11"/>
        <color rgb="FF000000"/>
        <rFont val="Aptos Narrow"/>
        <scheme val="minor"/>
      </rPr>
      <t xml:space="preserve"> TFT #A7 Fixed an issue where the purchase date was incorrectly saved during SMS inbound processing</t>
    </r>
  </si>
  <si>
    <t xml:space="preserve">Сайжруулалт - highest </t>
  </si>
  <si>
    <r>
      <rPr>
        <sz val="11"/>
        <color rgb="FF000000"/>
        <rFont val="Aptos Narrow"/>
        <scheme val="minor"/>
      </rPr>
      <t xml:space="preserve">Өөрчлөлтыг зааврын дагуу оруулсан. Тикетийг хааж байна. </t>
    </r>
    <r>
      <rPr>
        <b/>
        <sz val="11"/>
        <color rgb="FF000000"/>
        <rFont val="Aptos Narrow"/>
        <scheme val="minor"/>
      </rPr>
      <t>Шийдсэн Түвшинжаргал April 15, 2026 at 4:54 PM</t>
    </r>
  </si>
  <si>
    <r>
      <rPr>
        <b/>
        <sz val="11"/>
        <color rgb="FF000000"/>
        <rFont val="Aptos Narrow"/>
        <scheme val="minor"/>
      </rPr>
      <t>TFT-429</t>
    </r>
    <r>
      <rPr>
        <sz val="11"/>
        <color rgb="FF000000"/>
        <rFont val="Aptos Narrow"/>
        <scheme val="minor"/>
      </rPr>
      <t xml:space="preserve"> TFT #/Regarding Cost value of "ESBY010_RealStkinBrdnMng" Screen/НӨАТ-гүй өртөг үнэ оруулахтай холбоотой</t>
    </r>
  </si>
  <si>
    <r>
      <rPr>
        <sz val="11"/>
        <color rgb="FF000000"/>
        <rFont val="Aptos Narrow"/>
        <scheme val="minor"/>
      </rPr>
      <t xml:space="preserve">Nandintsetseg Prod ruu uurchlultiig oruulsan. Ticketiig haaj bna. </t>
    </r>
    <r>
      <rPr>
        <b/>
        <sz val="11"/>
        <color rgb="FF000000"/>
        <rFont val="Aptos Narrow"/>
        <scheme val="minor"/>
      </rPr>
      <t>Shiidsen Nandintsetseg March 31, 2026 at 5:39 PM</t>
    </r>
  </si>
  <si>
    <r>
      <rPr>
        <b/>
        <sz val="11"/>
        <color rgb="FF000000"/>
        <rFont val="Aptos Narrow"/>
        <scheme val="minor"/>
      </rPr>
      <t>Nandintsetseg</t>
    </r>
    <r>
      <rPr>
        <sz val="11"/>
        <color rgb="FF000000"/>
        <rFont val="Aptos Narrow"/>
        <scheme val="minor"/>
      </rPr>
      <t xml:space="preserve">  BC deeree aldaa ni baisan baina. Uniin uurchlultiig BC deeree avahgui baisan baina. Uuniig Balas tal zasaad Production orchindoo deploy hiichheed medegdiy gese. Ticket-iinhe turlig uurchluj ugnu uu</t>
    </r>
  </si>
  <si>
    <t>DC-с хариу ирээгүй</t>
  </si>
  <si>
    <t>LMS</t>
  </si>
  <si>
    <t>QA-руу шалгах хүсэлт өгсөн</t>
  </si>
  <si>
    <t xml:space="preserve">LMS </t>
  </si>
  <si>
    <t>Sys admin, LMS  developer рүү шалгах хүсэлт өгсөн</t>
  </si>
  <si>
    <t>IT-6; TFT-7</t>
  </si>
  <si>
    <r>
      <rPr>
        <b/>
        <sz val="11"/>
        <color rgb="FF000000"/>
        <rFont val="Aptos Narrow"/>
        <scheme val="minor"/>
      </rPr>
      <t xml:space="preserve">TFT-507 </t>
    </r>
    <r>
      <rPr>
        <sz val="11"/>
        <color rgb="FF000000"/>
        <rFont val="Aptos Narrow"/>
        <scheme val="minor"/>
      </rPr>
      <t>Franchise settlement-н batch-г ахин нэг ажлуулж өгнө үү</t>
    </r>
  </si>
  <si>
    <t xml:space="preserve">Үйлчилгээ үзүүлсэн- Medium  </t>
  </si>
  <si>
    <t>GP teamрүү хүсэлт өгсөн</t>
  </si>
  <si>
    <r>
      <rPr>
        <sz val="11"/>
        <color rgb="FF000000"/>
        <rFont val="Aptos Narrow"/>
        <scheme val="minor"/>
      </rPr>
      <t xml:space="preserve">Доголдол- Medium </t>
    </r>
    <r>
      <rPr>
        <sz val="10"/>
        <color rgb="FF000000"/>
        <rFont val="Aptos Narrow"/>
        <scheme val="minor"/>
      </rPr>
      <t xml:space="preserve"> </t>
    </r>
  </si>
  <si>
    <r>
      <rPr>
        <sz val="11"/>
        <color rgb="FF000000"/>
        <rFont val="Aptos Narrow"/>
        <scheme val="minor"/>
      </rPr>
      <t xml:space="preserve">
 </t>
    </r>
    <r>
      <rPr>
        <b/>
        <sz val="11"/>
        <color rgb="FF000000"/>
        <rFont val="Aptos Narrow"/>
        <scheme val="minor"/>
      </rPr>
      <t>Nandintsetseg Odbaatar</t>
    </r>
    <r>
      <rPr>
        <sz val="11"/>
        <color rgb="FF000000"/>
        <rFont val="Aptos Narrow"/>
        <scheme val="minor"/>
      </rPr>
      <t xml:space="preserve"> BC deeree aldaa ni baisan baina. Uniin uurchlultiig BC deeree avahgui baisan baina. Uuniig Balas tal zasaad Production orchindoo deploy hiigeed manaihtai hamtran test hiisen. Unuuuduriin SO price shalguulsan zuv baina gej baina. Ene ajil ni manai company dogoldol bish BC talaas uussen asuudal tul turuliig uurchlun haaj  bna.</t>
    </r>
    <r>
      <rPr>
        <b/>
        <sz val="11"/>
        <color rgb="FF000000"/>
        <rFont val="Aptos Narrow"/>
        <scheme val="minor"/>
      </rPr>
      <t xml:space="preserve"> Shiidsen Nandintsetseg April 22, 2026 at 10:40 AM
</t>
    </r>
  </si>
  <si>
    <r>
      <rPr>
        <b/>
        <sz val="11"/>
        <color rgb="FF000000"/>
        <rFont val="Aptos Narrow"/>
        <scheme val="minor"/>
      </rPr>
      <t xml:space="preserve">DC-506 </t>
    </r>
    <r>
      <rPr>
        <sz val="11"/>
        <color rgb="FF000000"/>
        <rFont val="Aptos Narrow"/>
        <scheme val="minor"/>
      </rPr>
      <t>04/20-ны өдрийн 61 баримт BC рүү илгээгдээгүй</t>
    </r>
  </si>
  <si>
    <t xml:space="preserve">Бусад- Medium  </t>
  </si>
  <si>
    <r>
      <rPr>
        <b/>
        <sz val="11"/>
        <color rgb="FF000000"/>
        <rFont val="Aptos Narrow"/>
        <scheme val="minor"/>
      </rPr>
      <t>Nandintsetseg Odbaatar</t>
    </r>
    <r>
      <rPr>
        <sz val="11"/>
        <color rgb="FF000000"/>
        <rFont val="Aptos Narrow"/>
        <scheme val="minor"/>
      </rPr>
      <t xml:space="preserve">  21/04-nd bugd amjilttai ilgeegdsen baina. Ih data udaj baij ilgeegdsen bna. POS untarj asahad genet ih guilgee odoord irvel bugdeng ni neg dor ilgeehdee neg negeer ni ilgeedeg. Bugd ilgeegdsen tul ticketiig haaj bna. Shiidsen Nandintsetseg April 22, 2026 at 4:00 PM</t>
    </r>
  </si>
  <si>
    <t>IT-4; TFT-6</t>
  </si>
  <si>
    <r>
      <rPr>
        <b/>
        <sz val="11"/>
        <color rgb="FF000000"/>
        <rFont val="Aptos Narrow"/>
        <scheme val="minor"/>
      </rPr>
      <t xml:space="preserve">DC-508 </t>
    </r>
    <r>
      <rPr>
        <sz val="11"/>
        <color rgb="FF000000"/>
        <rFont val="Aptos Narrow"/>
        <scheme val="minor"/>
      </rPr>
      <t>04/22-ны өдрийн 281 баримт BC рүү илгээгдээгүй</t>
    </r>
  </si>
  <si>
    <t xml:space="preserve">Бусад-Medium </t>
  </si>
  <si>
    <t>Цонхны хэмжээнд нэг лангуун дээр биш нийт  99 бараа бүртгэх боломжтой. Өмнө GSR Database-с оруулсан гэсэн. Ийм тохиолдолд лимит хамаарахгүй орчиж байгаа гэсэн үг. Цонхны хэмжээнд гараас бүртгэнэ гэвэл дээд лимит нь 99 байна. Databaseе-с оруулуулна гэвэл нэмэлт төлбөртэй хийгдэнэ. Энэ асуудал нь доголдол биш зарчмынхаа дагуу ажиллаж байгаа тул тикетийн төлөвийг доголдол биш мэдээлэл өгсөн болгон хааж байна. Шийдсэн Нандинцэцэг April 20, 2026 at 6:40 PM</t>
  </si>
  <si>
    <t>Ажиллуулсан тул тикетийг хааж байна. Шийдсэн Нандинцэцэг April 22, 2026 at 5:39 PM</t>
  </si>
  <si>
    <t xml:space="preserve">Мэдээлэл өгсөн- Medium  </t>
  </si>
  <si>
    <t>Nandintsetseg Suljeenii asuudal baisan baina. Unuudur zugeer bolson baina. Bid shalgaj vzsen. DC talaas shalgaj vzeed hariu medegdene vv. Ticketiig medeelel ugsun bolgon haaj baina6</t>
  </si>
  <si>
    <t xml:space="preserve">Өөрчлөлтийн хүсэлтээр шинэ тикет үүсгээд өгөөрэй.  Nandintsetseg Тухайн цонхны ард талд ажиллаж байгаа датабаазын холболтыг шалгаж үзлээ. Шуудын нийлүүлэгчийн буюу V9901 агуулхын барааг харагдуулахгүй гэсэн юм ердөөсөө байхгүй байна шүү. Өмнө нь нэмэлт хүсэлтээр ч хийлгэж байгаагүй. Хэрвээ хийлгэхээр бол шинэ өөрчлөлт болж орох юм та бүхэн ярилцаад хийлгэхээр бол шинэ тикет үүсгэнэ үү. Энэ тикетийг мэдээлэл өгсөнөөр нь хааж байна. Шийдсэн Нандинцэцэг April 13, 2026 at 4:58 PM </t>
  </si>
  <si>
    <t>Тест орчинд асуудал засагдсан 4/23 нд prod deploy оруулна</t>
  </si>
  <si>
    <r>
      <rPr>
        <b/>
        <sz val="11"/>
        <color rgb="FF000000"/>
        <rFont val="Aptos Narrow"/>
        <scheme val="minor"/>
      </rPr>
      <t xml:space="preserve">DC-479 </t>
    </r>
    <r>
      <rPr>
        <sz val="11"/>
        <color rgb="FF000000"/>
        <rFont val="Aptos Narrow"/>
        <scheme val="minor"/>
      </rPr>
      <t xml:space="preserve"> LMS cron job</t>
    </r>
  </si>
  <si>
    <t>IT-1; TFT-6</t>
  </si>
  <si>
    <t>GP Database</t>
  </si>
  <si>
    <r>
      <rPr>
        <b/>
        <sz val="11"/>
        <color rgb="FF000000"/>
        <rFont val="Aptos Narrow"/>
        <scheme val="minor"/>
      </rPr>
      <t>DC-509</t>
    </r>
    <r>
      <rPr>
        <sz val="11"/>
        <color rgb="FF000000"/>
        <rFont val="Aptos Narrow"/>
        <scheme val="minor"/>
      </rPr>
      <t xml:space="preserve"> Query шалгуулах тухай</t>
    </r>
  </si>
  <si>
    <t xml:space="preserve">Мэдээлэл өгсөн - Medium  </t>
  </si>
  <si>
    <t xml:space="preserve">GP team рүү шалгах хүсэлт өгсөн </t>
  </si>
  <si>
    <t>Deploy амжилттай орсон. Асуудал засагдсан тул тикетийг хааж байна. Шийдсэн Энхтүвшин 23 April 2026 at 22:17</t>
  </si>
  <si>
    <r>
      <rPr>
        <b/>
        <sz val="11"/>
        <color rgb="FF000000"/>
        <rFont val="Aptos Narrow"/>
        <scheme val="minor"/>
      </rPr>
      <t>Nandintsetseg Odbaatar</t>
    </r>
    <r>
      <rPr>
        <sz val="11"/>
        <color rgb="FF000000"/>
        <rFont val="Aptos Narrow"/>
        <scheme val="minor"/>
      </rPr>
      <t xml:space="preserve">  Ene ticket-iin yg umnuh asuudaltai ijilihen asuudaltai yum baina. Enehuu guilgeenuud ni 23-nii udur ilgeegdsen baina. Tegheer BC-ruu ilgeedeg service deer saijruulalt manai zugees tsuun barimt tuhain udurtuu bish daraagiin udruu ilgeej baigaa deer saijruulalt hiigdeh yum baina. Enehuu saijruulaltiig daraa doloo honogiin dunduur duuschih baih. Ene ticketiin hureend ilgeegdeegui barimtuud bugd ilgeegdsen tul ticketiig haaj bna. Shiidsen Nandintsetseg April 24, 2026 at 9:00 AM</t>
    </r>
  </si>
  <si>
    <t xml:space="preserve"> LMS PM  рүү cron joblist  шалгах хүсэлт өгсөн</t>
  </si>
  <si>
    <t>IT-3; TFT-6</t>
  </si>
  <si>
    <r>
      <rPr>
        <b/>
        <sz val="11"/>
        <color rgb="FF000000"/>
        <rFont val="Aptos Narrow"/>
        <scheme val="minor"/>
      </rPr>
      <t>DC-513</t>
    </r>
    <r>
      <rPr>
        <sz val="11"/>
        <color rgb="FF000000"/>
        <rFont val="Aptos Narrow"/>
        <scheme val="minor"/>
      </rPr>
      <t xml:space="preserve"> V1065 - EZ store дээр тооллогын төрөлыг салбар татан буулгахаар нээж тоолсон</t>
    </r>
  </si>
  <si>
    <t>Nandintsetseg Odbaatar  Шалгалаа. Тухайн цонхон дээр тооллого нь “Энгийн“ төрөл л болдог юм байна. Энгийнээс өөр төрөл бол энэ гараад байгаа алдаа нь гарч ирдэг код хөгжүүлэгдсэн байна. Энэ нь бизнес процесийн хувьд яагаад зөвхөн энгийнийг сонгох хэрэгтэй вэ ? Бусад үед нь ямар цонхноос хийхийг GSR талаас асуух юм байна даа.</t>
  </si>
  <si>
    <t>DC-516 GP болон BC системийн интеграцийн лог</t>
  </si>
  <si>
    <r>
      <rPr>
        <b/>
        <sz val="11"/>
        <color rgb="FF000000"/>
        <rFont val="Aptos Narrow"/>
        <scheme val="minor"/>
      </rPr>
      <t>DC-519</t>
    </r>
    <r>
      <rPr>
        <sz val="11"/>
        <color rgb="FF000000"/>
        <rFont val="Aptos Narrow"/>
        <scheme val="minor"/>
      </rPr>
      <t xml:space="preserve"> BC-с post хийсэн мэдээлэл GP дээр орж ирээгүй</t>
    </r>
  </si>
  <si>
    <t xml:space="preserve">
Nandintsetseg Odbaatar  Tuhain hesegchilsen POST hiisen shipment-iig bi GP deerees ustgah yum tegsnii daraa BC -gees butneer ni dahin POST hiih heregtei baina. Ene medeelliig Balas tald damjuulan. Heden tsagt butneer ni POST hiih medeelliig nadad damjuulj ugnu uu. Mun POST hiih shipment-iin medeelliig POST hiiheesee umnu hoyr taldaa batalgaajuulah heregtei baina.
Ene ticket-iin turliig mun soliulah huseltei baina. Ene ni manai dogoldol bish yum.</t>
  </si>
  <si>
    <t>Closed ticket</t>
  </si>
  <si>
    <t>tuvshinjargal 
SMS →  Борлуулалтын анализ → Бараа бүрийн борлуулалтын журнал энэ цонхийг ер нь ашигладаг юм байна. Дараа нь BC рүү дата илгээх дата дутсан тохиолдолд ticket үүсгүүлээрэй.
BC рүү илгээдэг QUERY нь te_tr_tranlog_bak_new_bc энэ table-д орж ирсэн гүйлгээг шууд BC рүү илгээдэг ба энэ table руу POS-оос борлуулалт орж ирээд бичигддэг table.
Тухайн явуулсан хоёр цонхны query-үүдийг шалгаж үзэхэд зөрүүгүй таарч байна.
Parameter for SMS → ORIGIN_BIZPL_CD - салбарын дугаар, GOODS_CD - бар код, POS_NO - null байж болно, Deal_sp - null байж болно (борлуулалтын ангилал), OPER_DT_FROM and OPER_DT_TO - хугацаа, SALE_SP - null байж болно (борлуултын ангилал), SKU_CANCEL_YN - null байж болно (буцаалт хийсэн эсэх).
Paramet for HQ → oper_dt - борлуулалтын хугацаа, bizpl_cd - салбарын дугаар, line_cd - барааны ангилал, goods_nm - барааны нэр.
QUERY → SMS QUERY.txt HQ QUERY.txt bc_bill_query.txt</t>
  </si>
  <si>
    <r>
      <rPr>
        <b/>
        <sz val="11"/>
        <color rgb="FF000000"/>
        <rFont val="Aptos Narrow"/>
        <scheme val="minor"/>
      </rPr>
      <t>DC-516</t>
    </r>
    <r>
      <rPr>
        <sz val="11"/>
        <color rgb="FF000000"/>
        <rFont val="Aptos Narrow"/>
        <scheme val="minor"/>
      </rPr>
      <t xml:space="preserve"> GP болон BC системийн интеграцийн лог</t>
    </r>
  </si>
  <si>
    <r>
      <rPr>
        <b/>
        <sz val="11"/>
        <color rgb="FF000000"/>
        <rFont val="Aptos Narrow"/>
        <scheme val="minor"/>
      </rPr>
      <t xml:space="preserve">DC-523 </t>
    </r>
    <r>
      <rPr>
        <sz val="11"/>
        <color rgb="FF000000"/>
        <rFont val="Aptos Narrow"/>
        <scheme val="minor"/>
      </rPr>
      <t>v1334 Шинэ салбарын захиалга тохиуруулсан өдөртөө хийгдэхгүй байгаа тухай</t>
    </r>
  </si>
  <si>
    <t>Доголдол- Highest</t>
  </si>
  <si>
    <r>
      <rPr>
        <b/>
        <sz val="11"/>
        <color rgb="FF000000"/>
        <rFont val="Aptos Narrow"/>
        <scheme val="minor"/>
      </rPr>
      <t xml:space="preserve">tuvshinjargal  </t>
    </r>
    <r>
      <rPr>
        <sz val="11"/>
        <color rgb="FF000000"/>
        <rFont val="Aptos Narrow"/>
        <scheme val="minor"/>
      </rPr>
      <t>SMS →  Борлуулалтын анализ → Бараа бүрийн борлуулалтын журнал энэ цонхийг ер нь ашигладаг юм байна. Дараа нь BC рүү дата илгээх дата дутсан тохиолдолд ticket үүсгүүлээрэй.
BC рүү илгээдэг QUERY нь te_tr_tranlog_bak_new_bc энэ table-д орж ирсэн гүйлгээг шууд BC рүү илгээдэг ба энэ table руу POS-оос борлуулалт орж ирээд бичигддэг table.
Тухайн явуулсан хоёр цонхны query-үүдийг шалгаж үзэхэд зөрүүгүй таарч байна.
Parameter for SMS → ORIGIN_BIZPL_CD - салбарын дугаар, GOODS_CD - бар код, POS_NO - null байж болно, Deal_sp - null байж болно (борлуулалтын ангилал), OPER_DT_FROM and OPER_DT_TO - хугацаа, SALE_SP - null байж болно (борлуултын ангилал), SKU_CANCEL_YN - null байж болно (буцаалт хийсэн эсэх).
Paramet for HQ → oper_dt - борлуулалтын хугацаа, bizpl_cd - салбарын дугаар, line_cd - барааны ангилал, goods_nm - барааны нэр.
QUERY → SMS QUERY.txt HQ QUERY.txt bc_bill_query.txt</t>
    </r>
  </si>
  <si>
    <t>Мэдээлэл өгсөн тул тикетийг хааж байна. Уг ажлыг хийлгэх хүсэлтийг шинэ тикетээр авах саналтай. Шийдсэн Нандинцэцэг April 30, 2026 at 11:55 AM</t>
  </si>
  <si>
    <r>
      <rPr>
        <b/>
        <sz val="11"/>
        <color rgb="FF000000"/>
        <rFont val="Aptos Narrow"/>
        <scheme val="minor"/>
      </rPr>
      <t>Nandintsetseg Odbaatar</t>
    </r>
    <r>
      <rPr>
        <sz val="11"/>
        <color rgb="FF000000"/>
        <rFont val="Aptos Narrow"/>
        <scheme val="minor"/>
      </rPr>
      <t xml:space="preserve">  Шалгалаа. Тухайн цонхон дээр тооллого нь “Энгийн“ төрөл л болдог юм байна. Энгийнээс өөр төрөл бол энэ гараад байгаа алдаа нь гарч ирдэг код хөгжүүлэгдсэн байна. Энэ нь бизнес процесийн хувьд яагаад зөвхөн энгийнийг сонгох хэрэгтэй вэ ? Бусад үед нь ямар цонхноос хийхийг GSR талаас асуух юм байна даа.</t>
    </r>
  </si>
  <si>
    <r>
      <rPr>
        <b/>
        <sz val="11"/>
        <color rgb="FF000000"/>
        <rFont val="Aptos Narrow"/>
        <scheme val="minor"/>
      </rPr>
      <t xml:space="preserve">
Nandintsetseg Odbaatar</t>
    </r>
    <r>
      <rPr>
        <sz val="11"/>
        <color rgb="FF000000"/>
        <rFont val="Aptos Narrow"/>
        <scheme val="minor"/>
      </rPr>
      <t xml:space="preserve">  Tuhain hesegchilsen POST hiisen shipment-iig bi GP deerees ustgah yum tegsnii daraa BC -gees butneer ni dahin POST hiih heregtei baina. Ene medeelliig Balas tald damjuulan. Heden tsagt butneer ni POST hiih medeelliig nadad damjuulj ugnu uu. Mun POST hiih shipment-iin medeelliig POST hiiheesee umnu hoyr taldaa batalgaajuulah heregtei baina. Ene ticket-iin turliig mun soliulah huseltei baina. Ene ni manai dogoldol bish yum.</t>
    </r>
  </si>
  <si>
    <t>IT-6; TFT-5</t>
  </si>
  <si>
    <r>
      <rPr>
        <b/>
        <sz val="11"/>
        <color rgb="FF000000"/>
        <rFont val="Aptos Narrow"/>
        <scheme val="minor"/>
      </rPr>
      <t>DC-526</t>
    </r>
    <r>
      <rPr>
        <sz val="11"/>
        <color rgb="FF000000"/>
        <rFont val="Aptos Narrow"/>
        <scheme val="minor"/>
      </rPr>
      <t xml:space="preserve"> GP, BC integration log</t>
    </r>
  </si>
  <si>
    <r>
      <rPr>
        <b/>
        <sz val="11"/>
        <color rgb="FF000000"/>
        <rFont val="Aptos Narrow"/>
        <scheme val="minor"/>
      </rPr>
      <t xml:space="preserve">DC-527 </t>
    </r>
    <r>
      <rPr>
        <sz val="11"/>
        <color rgb="FF000000"/>
        <rFont val="Aptos Narrow"/>
        <scheme val="minor"/>
      </rPr>
      <t>FRA 04 сарын 24-30 1432 баримт BC рүү илгээгдээгүй</t>
    </r>
  </si>
  <si>
    <t>IT-6; TFT-6</t>
  </si>
  <si>
    <r>
      <rPr>
        <b/>
        <sz val="11"/>
        <color rgb="FF000000"/>
        <rFont val="Aptos Narrow"/>
        <scheme val="minor"/>
      </rPr>
      <t>DC-528</t>
    </r>
    <r>
      <rPr>
        <sz val="11"/>
        <color rgb="FF000000"/>
        <rFont val="Aptos Narrow"/>
        <scheme val="minor"/>
      </rPr>
      <t xml:space="preserve"> 4 сарын 30 86 баримт BC рүү илгээгдээгүй</t>
    </r>
  </si>
  <si>
    <t>Ariunbold Shipment-г пост хийхдээ процессийн хувьд салгаж пост хийж болохгүй талаар өмнө нь мэдэгдсэн. Тиймээс энэхүү тикет нь доголдол биш юм. Энэхүү shipment датаг нөхөж оруулахад 1 хүн цагийн ажил хийгдсэн. Энэхүү тикетийн хувьд анх удаа болохоор үйлчилгээ үзүүлсэн төлөвтэйгээр хааж байна.Харин энэхүү асуудал нь дахин гарсан тохиолдолд ZT талаас төлбөртэйгээр гүйцэтгэхийг анхаарна уу. Шийдсэн Нандинцэцэг April 30, 2026 at 11:18 AM</t>
  </si>
  <si>
    <r>
      <rPr>
        <b/>
        <sz val="11"/>
        <color rgb="FF000000"/>
        <rFont val="Aptos Narrow"/>
        <scheme val="minor"/>
      </rPr>
      <t>DC-533</t>
    </r>
    <r>
      <rPr>
        <sz val="11"/>
        <color rgb="FF000000"/>
        <rFont val="Aptos Narrow"/>
        <scheme val="minor"/>
      </rPr>
      <t xml:space="preserve"> 5сарын 1-4 ны 684 баримт BC рүү илгээгдээгүй</t>
    </r>
  </si>
  <si>
    <t xml:space="preserve">GP-SMS </t>
  </si>
  <si>
    <t>Мэдээлэл өгсөн - Highest</t>
  </si>
  <si>
    <t>tuvshinjargal 
Холбоотой ажилладаг batch job-г шалгаж үзэхэд алдаа гаралгүй хэвийн ажилласан байсан. Манайхаас ямар нэгэн юм хийгээгүй учир мэдээлэл өгсөн болгон хааж байна.</t>
  </si>
  <si>
    <r>
      <rPr>
        <b/>
        <sz val="11"/>
        <color rgb="FF000000"/>
        <rFont val="Aptos Narrow"/>
        <scheme val="minor"/>
      </rPr>
      <t xml:space="preserve">DC-534 </t>
    </r>
    <r>
      <rPr>
        <sz val="11"/>
        <color rgb="FF000000"/>
        <rFont val="Aptos Narrow"/>
        <scheme val="minor"/>
      </rPr>
      <t>Нөөцийн өртөг цонхны бодолтын тухай</t>
    </r>
  </si>
  <si>
    <r>
      <rPr>
        <b/>
        <sz val="11"/>
        <color rgb="FF000000"/>
        <rFont val="Aptos Narrow"/>
        <scheme val="minor"/>
      </rPr>
      <t xml:space="preserve">DC-536 </t>
    </r>
    <r>
      <rPr>
        <sz val="11"/>
        <color rgb="FF000000"/>
        <rFont val="Aptos Narrow"/>
        <scheme val="minor"/>
      </rPr>
      <t>GP to BC хөдөлгөөний дата оруулах</t>
    </r>
  </si>
  <si>
    <r>
      <rPr>
        <b/>
        <sz val="11"/>
        <color rgb="FF000000"/>
        <rFont val="Aptos Narrow"/>
        <scheme val="minor"/>
      </rPr>
      <t>Nandintsetseg</t>
    </r>
    <r>
      <rPr>
        <sz val="11"/>
        <color rgb="FF000000"/>
        <rFont val="Aptos Narrow"/>
        <scheme val="minor"/>
      </rPr>
      <t xml:space="preserve"> Bugd amjilttai ilgeegdsen tul ticketiig haaj bna. Ali hediin ilgeegdchihsen baina geed BC-gees aldaa ugsun baina. The record in table Transaction Header already exists. Identification fields and values: Store No.='V6069',POS Terminal No.='T6069',Transaction No.='200716'  CorrelationId:  01164da9-0a61-45d5-8cd4-57cf92b003bb. Bc hadgalj chadaagui baij magadgui gej uzeed dahin ilgeeh tuluvt oruullaa. Shiidsen Nandintsetseg May 5, 2026 at 2:49 PM </t>
    </r>
  </si>
  <si>
    <r>
      <rPr>
        <b/>
        <sz val="11"/>
        <color rgb="FF000000"/>
        <rFont val="Aptos Narrow"/>
        <scheme val="minor"/>
      </rPr>
      <t>TFT- 236</t>
    </r>
    <r>
      <rPr>
        <sz val="11"/>
        <color rgb="FF000000"/>
        <rFont val="Aptos Narrow"/>
        <scheme val="minor"/>
      </rPr>
      <t xml:space="preserve"> Устгалын дэмжлэгийн байдлын дэлгэц харагдахгүй тухай</t>
    </r>
  </si>
  <si>
    <t xml:space="preserve">Мэдээлэл өгсөн - High </t>
  </si>
  <si>
    <t>Өөрчлөлт амжилттай орсон тул тикетийг хааж байна. Шийдсэн Түвшинжаргал 1 May 2026 at 11:23</t>
  </si>
  <si>
    <r>
      <rPr>
        <b/>
        <sz val="11"/>
        <color rgb="FF000000"/>
        <rFont val="Aptos Narrow"/>
        <scheme val="minor"/>
      </rPr>
      <t xml:space="preserve">Nandintsetseg </t>
    </r>
    <r>
      <rPr>
        <sz val="11"/>
        <color rgb="FF000000"/>
        <rFont val="Aptos Narrow"/>
        <scheme val="minor"/>
      </rPr>
      <t>Шалгалаа. Тухайн цонхон дээр тооллого нь “Энгийн“ төрөл л болдог юм байна. Энгийнээс өөр төрөл бол энэ гараад байгаа алдаа нь гарч ирдэг код хөгжүүлэгдсэн байна. Энэ нь бизнес процесийн хувьд яагаад зөвхөн энгийнийг сонгох хэрэгтэй вэ ? Бусад үед нь ямар цонхноос хийхийг GSR талаас асуух юм байна даа.</t>
    </r>
  </si>
  <si>
    <r>
      <rPr>
        <b/>
        <sz val="11"/>
        <color rgb="FF000000"/>
        <rFont val="Aptos Narrow"/>
        <scheme val="minor"/>
      </rPr>
      <t xml:space="preserve">Nandintsetseg </t>
    </r>
    <r>
      <rPr>
        <sz val="11"/>
        <color rgb="FF000000"/>
        <rFont val="Aptos Narrow"/>
        <scheme val="minor"/>
      </rPr>
      <t xml:space="preserve">Өдрийн мэнд. Би одоо яаралтайгаар дэлгүүрийн тооллогын BC-рүү илгээх интеграц хийж байгаа. Энэхүү ажлыг хийж дууссаны дараа шууд хийгдэнэ. </t>
    </r>
  </si>
  <si>
    <r>
      <rPr>
        <b/>
        <sz val="11"/>
        <color rgb="FF000000"/>
        <rFont val="Aptos Narrow"/>
        <scheme val="minor"/>
      </rPr>
      <t xml:space="preserve">Nandintsetseg </t>
    </r>
    <r>
      <rPr>
        <sz val="11"/>
        <color rgb="FF000000"/>
        <rFont val="Aptos Narrow"/>
        <scheme val="minor"/>
      </rPr>
      <t>Aldaag shalgalaa BC system-ees “POS Terminal T1339 not found.” gesen aldaa uguud V1339 salbariin guilgeenuud ilgeegdeegui baina. BC system deer enehuu burtgel ni hiigdeegui baina. Tuhain terminal burtgegdsnii daraa guilgeenuudiig dahin ilgeene.  Hiisnii daraa medegdene uu. Ene asuudal ni BC system-ees shaltgaalsan aldaa bolno</t>
    </r>
  </si>
  <si>
    <t>5/72026</t>
  </si>
  <si>
    <t>IT-7; TFT-5</t>
  </si>
  <si>
    <t xml:space="preserve">GP-HQ </t>
  </si>
  <si>
    <r>
      <rPr>
        <b/>
        <sz val="11"/>
        <color rgb="FF000000"/>
        <rFont val="Aptos Narrow"/>
        <scheme val="minor"/>
      </rPr>
      <t xml:space="preserve">DC-538 </t>
    </r>
    <r>
      <rPr>
        <sz val="11"/>
        <color rgb="FF000000"/>
        <rFont val="Aptos Narrow"/>
        <scheme val="minor"/>
      </rPr>
      <t>BC, GP monitoring system үнийн санал авах тухай</t>
    </r>
  </si>
  <si>
    <t>Мэдээлэл өгсөн - High</t>
  </si>
  <si>
    <r>
      <rPr>
        <b/>
        <sz val="11"/>
        <color rgb="FF000000"/>
        <rFont val="Aptos Narrow"/>
        <scheme val="minor"/>
      </rPr>
      <t>DC-539</t>
    </r>
    <r>
      <rPr>
        <sz val="11"/>
        <color rgb="FF000000"/>
        <rFont val="Aptos Narrow"/>
        <scheme val="minor"/>
      </rPr>
      <t xml:space="preserve"> SMS дүн зөрсөн тул шалгуулах тухай</t>
    </r>
  </si>
  <si>
    <r>
      <rPr>
        <b/>
        <sz val="11"/>
        <color rgb="FF000000"/>
        <rFont val="Aptos Narrow"/>
        <scheme val="minor"/>
      </rPr>
      <t xml:space="preserve">DC-541 </t>
    </r>
    <r>
      <rPr>
        <sz val="11"/>
        <color rgb="FF000000"/>
        <rFont val="Aptos Narrow"/>
        <scheme val="minor"/>
      </rPr>
      <t>Тестийн HQS болон SMS-н batch ажиллуулах</t>
    </r>
  </si>
  <si>
    <t xml:space="preserve">DC- с дахин мэдээлэл тодруулж байна </t>
  </si>
  <si>
    <t xml:space="preserve">Receipt </t>
  </si>
  <si>
    <r>
      <rPr>
        <b/>
        <sz val="11"/>
        <color rgb="FF000000"/>
        <rFont val="Aptos Narrow"/>
        <scheme val="minor"/>
      </rPr>
      <t>DC-512</t>
    </r>
    <r>
      <rPr>
        <sz val="11"/>
        <color rgb="FF000000"/>
        <rFont val="Aptos Narrow"/>
        <scheme val="minor"/>
      </rPr>
      <t xml:space="preserve"> 1+1 Урамшуулалтай бараа худалдан авахад 1 бараагаараа орж ирсэн.</t>
    </r>
  </si>
  <si>
    <t xml:space="preserve">Uyanga ticket </t>
  </si>
  <si>
    <r>
      <rPr>
        <b/>
        <sz val="11"/>
        <color rgb="FF000000"/>
        <rFont val="Aptos Narrow"/>
        <scheme val="minor"/>
      </rPr>
      <t xml:space="preserve">tuvshinjargal </t>
    </r>
    <r>
      <rPr>
        <sz val="11"/>
        <color rgb="FF000000"/>
        <rFont val="Aptos Narrow"/>
        <scheme val="minor"/>
      </rPr>
      <t>Боломжтой, хөгжүүлэлтийн ажил эхэлсэн хаана өөрчлөлт оруулахыг судалж байна. Үнийн дүн биш зөвхөн тоо ширхэг гэсэн тул QTY буюу тоо ширхэг гэсэн хэсэгт 1+1=2 буюу 2-оор нь илгээдэг байх юм байна гэж ойлголоо зөв үү? 8 хүн/цаг болно гэж бодож байна. Мэдээлэл өгсөн  тул тикетийг хааж байна. Шийдсэн Түвшинжаргал May 6, 2026 at 3:56 PM</t>
    </r>
  </si>
  <si>
    <r>
      <rPr>
        <sz val="11"/>
        <color rgb="FF000000"/>
        <rFont val="Aptos Narrow"/>
        <scheme val="minor"/>
      </rPr>
      <t xml:space="preserve">
</t>
    </r>
    <r>
      <rPr>
        <b/>
        <sz val="11"/>
        <color rgb="FF000000"/>
        <rFont val="Aptos Narrow"/>
        <scheme val="minor"/>
      </rPr>
      <t>Enkhtuvshin</t>
    </r>
    <r>
      <rPr>
        <sz val="11"/>
        <color rgb="FF000000"/>
        <rFont val="Aptos Narrow"/>
        <scheme val="minor"/>
      </rPr>
      <t xml:space="preserve"> mastersync cron ni uur deere ajilladag shuniin 01 tsagt. logiig harahdaa cron-s bish master data sync -s harna. Log bichigdehdee Starting GP master data sync at gej ehleed duusahdaa Finished GP master data sync at gej duusna. Ticketiig haaj bna. Shiidsen Enkhtuvshin May 7, 2026 at 10:08 AM   </t>
    </r>
  </si>
  <si>
    <r>
      <rPr>
        <b/>
        <sz val="11"/>
        <color rgb="FF000000"/>
        <rFont val="Aptos Narrow"/>
        <scheme val="minor"/>
      </rPr>
      <t>Khuslen Ichinkhorloo</t>
    </r>
    <r>
      <rPr>
        <sz val="11"/>
        <color rgb="FF000000"/>
        <rFont val="Aptos Narrow"/>
        <scheme val="minor"/>
      </rPr>
      <t xml:space="preserve"> Нөөцийн өртгийн цонх нь тухайн салбарын үлдэгдэл бодогдсоны дараа нөлөөлж харагдаж байна. Нөөцийн үлдэгдлийг GP-ийн master-аас авч байна. </t>
    </r>
    <r>
      <rPr>
        <b/>
        <sz val="11"/>
        <color rgb="FF000000"/>
        <rFont val="Aptos Narrow"/>
        <scheme val="minor"/>
      </rPr>
      <t xml:space="preserve"> Nandintsetseg Odbaatar
</t>
    </r>
    <r>
      <rPr>
        <sz val="11"/>
        <color rgb="FF000000"/>
        <rFont val="Aptos Narrow"/>
        <scheme val="minor"/>
      </rPr>
      <t>DC -ээс тухайн цонхон дээр үнийн мэдээллийг GP мастер үнээс авч байгаа эсэхийг тодруулсан. Учир нь Snowflake дээрх үнийн мэдээлэлтэй зөрөөд байгаа болхоор.</t>
    </r>
  </si>
  <si>
    <t>Khuslen Ichinkhorloo
Нөөцийн өртгийн цонх нь тухайн салбарын үлдэгдэл бодогдсоны дараа нөлөөлж харагдаж байна. Нөөцийн үлдэгдлийг GP-ийн master-аас авч байна.
Nandintsetseg Odbaatar
DC -ээс тухайн цонхон дээр үнийн мэдээллийг GP мастер үнээс авч байгаа эсэхийг тодруулсан. Учир нь Snowflake дээрх үнийн мэдээлэлтэй зөрөөд байгаа болхоор. Мэдээлэл өгсөн тул тикетийг хааж байна. Шийдсэн Хүслэн May 7, 2026 at 10:32 AM</t>
  </si>
  <si>
    <r>
      <rPr>
        <b/>
        <sz val="11"/>
        <color rgb="FF000000"/>
        <rFont val="Aptos Narrow"/>
        <scheme val="minor"/>
      </rPr>
      <t>DC-537</t>
    </r>
    <r>
      <rPr>
        <sz val="11"/>
        <color rgb="FF000000"/>
        <rFont val="Aptos Narrow"/>
        <scheme val="minor"/>
      </rPr>
      <t xml:space="preserve"> Цонхны мэдээлэл авах тухай</t>
    </r>
  </si>
  <si>
    <t>GP Team мэдээлэл гарган өгсөн</t>
  </si>
  <si>
    <t>Цонхнуудын мэдээллийг бүрэн өгсөн тул тикетийг хааж байна.Шийдсэн Түвшинжаргал  May 7, 2026 at 12:27 PM</t>
  </si>
  <si>
    <t>Open ticket</t>
  </si>
  <si>
    <r>
      <rPr>
        <b/>
        <sz val="11"/>
        <color rgb="FF000000"/>
        <rFont val="Aptos Narrow"/>
        <scheme val="minor"/>
      </rPr>
      <t xml:space="preserve">Nandintsetseg </t>
    </r>
    <r>
      <rPr>
        <sz val="11"/>
        <color rgb="FF000000"/>
        <rFont val="Aptos Narrow"/>
        <scheme val="minor"/>
      </rPr>
      <t>Шалгалаа. Тухайн цонхон дээр тооллого нь “Энгийн“ төрөл л болдог юм байна. Энгийнээс өөр төрөл бол энэ гараад байгаа алдаа нь гарч ирдэг код хөгжүүлэгдсэн байна. Энэ нь бизнес процесийн хувьд яагаад зөвхөн энгийнийг сонгох хэрэгтэй вэ ? Бусад үед нь ямар цонхноос хийхийг GSR талаас асуух юм байна даа6</t>
    </r>
  </si>
  <si>
    <t>BC sandbox orchin ni BC prod orchintoigoo sata sync hiigeegui baigaa bolhoor. Salbar bolon baraanii medeelluud baihgui baina gesen aldaa ugj baigaa uchir excel-eer gargaad ugvul ta hed tulgaad uzchihed boloh uu ?</t>
  </si>
  <si>
    <t>5/82026</t>
  </si>
  <si>
    <t>Хулан</t>
  </si>
  <si>
    <r>
      <rPr>
        <b/>
        <sz val="11"/>
        <color rgb="FF000000"/>
        <rFont val="Aptos Narrow"/>
        <scheme val="minor"/>
      </rPr>
      <t xml:space="preserve">DC-542 </t>
    </r>
    <r>
      <rPr>
        <sz val="11"/>
        <color rgb="FF000000"/>
        <rFont val="Aptos Narrow"/>
        <scheme val="minor"/>
      </rPr>
      <t>Тооллогын api холбох тухай</t>
    </r>
  </si>
  <si>
    <t xml:space="preserve">Бусад - Medium </t>
  </si>
  <si>
    <r>
      <rPr>
        <b/>
        <sz val="11"/>
        <color rgb="FF000000"/>
        <rFont val="Aptos Narrow"/>
        <scheme val="minor"/>
      </rPr>
      <t xml:space="preserve">DC-543 </t>
    </r>
    <r>
      <rPr>
        <sz val="11"/>
        <color rgb="FF000000"/>
        <rFont val="Aptos Narrow"/>
        <scheme val="minor"/>
      </rPr>
      <t>V1126 - SMS систем тооллого хүлээн авахад алдаа заасан</t>
    </r>
  </si>
  <si>
    <t>Доголдол- High</t>
  </si>
  <si>
    <t>Nandintsetseg
Uchigdur daraah 4 salbar deer BC systemees aldaa ugsun baisan tul dahin ilgeesen. CD talaas BC Production orchind hudulguunuud amjilttai orj irsen medeelel irsen tul ticket-iig haah huseltei baina. Shiidsen Nandintsetseg May 7, 2026 at 2:53 PM</t>
  </si>
  <si>
    <t xml:space="preserve">Bugd ilgeegdsen baina. Shiidsen Nandintsetseg May 7, 2026 at 4:27 PM </t>
  </si>
  <si>
    <t>Bugd ilgeegdsen tul ticketiig haaj baina. Shiidsen Nandintsetseg May 7, 2026 at 4:18 PM</t>
  </si>
  <si>
    <t>Nandintsetseg Odbaatar сарын эцсийн үлдэгдлийг тухайн сарын сүүлийн мастер үнээр тооцоолоход дүн зөрүүтэй байгаа юм байна шалгаад өгөөч</t>
  </si>
  <si>
    <t>Nandintsetseg
Tailbar: 4.01 buyu niit vatgui master uniin uurchlult orhoos umnu hiigdsen hudulguunuud vattai uneeree burtgegdsen baigaa. HArin 4.01 master uniin uurchlult orsnii daraa hiigdsen hudulguunuud vatgui uneeree burtgegdsen baigaa. Tiim uchraas vattai vatgui uniin niilber orood tuhain hul dun haragdaj baigaa yum baina.
Jishee ni 031146041060 ene bara bolhor V5103 salbar deer 20260314-nd 8.00 orlogo avsan tuhain uyiin dun ni. 3300 baisan. Yg ter dungeeree urjij baigaan. Tegengut odoogin dun ni 3000 uurchlugdsun dun ni. Medeelel buren ugsun tul ticketiig haaj bna Shiidsen Nandintsetseg May 8, 2026 at 11:30 AM</t>
  </si>
  <si>
    <t>5/112026</t>
  </si>
  <si>
    <t>IT-9; TFT-4</t>
  </si>
  <si>
    <r>
      <rPr>
        <b/>
        <sz val="11"/>
        <color rgb="FF000000"/>
        <rFont val="Aptos Narrow"/>
        <scheme val="minor"/>
      </rPr>
      <t>DC-551</t>
    </r>
    <r>
      <rPr>
        <sz val="11"/>
        <color rgb="FF000000"/>
        <rFont val="Aptos Narrow"/>
        <scheme val="minor"/>
      </rPr>
      <t xml:space="preserve"> Хүн цагийн мэдээлэл авах тухай</t>
    </r>
  </si>
  <si>
    <t xml:space="preserve">Мэдээлэл өгсөн - Medium </t>
  </si>
  <si>
    <r>
      <rPr>
        <b/>
        <sz val="11"/>
        <color rgb="FF000000"/>
        <rFont val="Aptos Narrow"/>
        <scheme val="minor"/>
      </rPr>
      <t>DC-549</t>
    </r>
    <r>
      <rPr>
        <sz val="11"/>
        <color rgb="FF000000"/>
        <rFont val="Aptos Narrow"/>
        <scheme val="minor"/>
      </rPr>
      <t xml:space="preserve"> DC-547 ticket дээр үүссэн асуудлыг шийдвэрлэх тухай</t>
    </r>
  </si>
  <si>
    <r>
      <rPr>
        <b/>
        <sz val="11"/>
        <color rgb="FF000000"/>
        <rFont val="Aptos Narrow"/>
        <scheme val="minor"/>
      </rPr>
      <t xml:space="preserve">DC-548 </t>
    </r>
    <r>
      <rPr>
        <sz val="11"/>
        <color rgb="FF000000"/>
        <rFont val="Aptos Narrow"/>
        <scheme val="minor"/>
      </rPr>
      <t>Тестийн SMS-н batch ажиллуулах</t>
    </r>
  </si>
  <si>
    <t>Сайжруулалт-Highest</t>
  </si>
  <si>
    <t>TFT энэ ажил нь хийгдэж дууссан тул харилцагчийн хүсэлтээр тикетийг хааж байна.</t>
  </si>
  <si>
    <r>
      <rPr>
        <b/>
        <sz val="11"/>
        <color rgb="FF000000"/>
        <rFont val="Aptos Narrow"/>
        <scheme val="minor"/>
      </rPr>
      <t>DC-547</t>
    </r>
    <r>
      <rPr>
        <sz val="11"/>
        <color rgb="FF000000"/>
        <rFont val="Aptos Narrow"/>
        <scheme val="minor"/>
      </rPr>
      <t xml:space="preserve"> BC дээрээс пост хийгдсэн боловч GP дээр нөлөөлөгүй</t>
    </r>
  </si>
  <si>
    <t>Nandintsetseg 
Ямар нэгэн системийн доголдол асуудал биш процессийн асуудал байсан тул тикетийг хааж байна. Харин үүссэн асуудалыг DC-549: DC-547 ticket дээр үүссэн асуудлыг шийдвэрлэх тухай
Open тикетийн хүрээнд төлбөртэй шийдэх болно. Шийдсэн Нандинцэцэг May 11, 2026 at 11:44 AM</t>
  </si>
  <si>
    <t>IT-10; TFT-4</t>
  </si>
  <si>
    <r>
      <rPr>
        <b/>
        <sz val="11"/>
        <color rgb="FF000000"/>
        <rFont val="Aptos Narrow"/>
        <scheme val="minor"/>
      </rPr>
      <t>DC-554</t>
    </r>
    <r>
      <rPr>
        <sz val="11"/>
        <color rgb="FF000000"/>
        <rFont val="Aptos Narrow"/>
        <scheme val="minor"/>
      </rPr>
      <t xml:space="preserve"> V1009 - 1өдөрт 2тооллого хийн sms рүү засварлуулах</t>
    </r>
  </si>
  <si>
    <r>
      <rPr>
        <b/>
        <sz val="11"/>
        <color rgb="FF000000"/>
        <rFont val="Aptos Narrow"/>
        <scheme val="minor"/>
      </rPr>
      <t>DC-555</t>
    </r>
    <r>
      <rPr>
        <sz val="11"/>
        <color rgb="FF000000"/>
        <rFont val="Aptos Narrow"/>
        <scheme val="minor"/>
      </rPr>
      <t xml:space="preserve"> 5сарын 8-11 хүртэл 2113 баримт BC рүү илгээгдээгүй</t>
    </r>
  </si>
  <si>
    <r>
      <rPr>
        <b/>
        <sz val="11"/>
        <color rgb="FF000000"/>
        <rFont val="Aptos Narrow"/>
        <scheme val="minor"/>
      </rPr>
      <t xml:space="preserve">DC-557 </t>
    </r>
    <r>
      <rPr>
        <sz val="11"/>
        <color rgb="FF000000"/>
        <rFont val="Aptos Narrow"/>
        <scheme val="minor"/>
      </rPr>
      <t>Орлого давхардаж үүссэн тул шалгуулах</t>
    </r>
  </si>
  <si>
    <t xml:space="preserve">Доголдол- Medium  </t>
  </si>
  <si>
    <r>
      <rPr>
        <b/>
        <sz val="11"/>
        <color rgb="FF000000"/>
        <rFont val="Aptos Narrow"/>
        <scheme val="minor"/>
      </rPr>
      <t>TFT-553</t>
    </r>
    <r>
      <rPr>
        <sz val="11"/>
        <color rgb="FF000000"/>
        <rFont val="Aptos Narrow"/>
        <scheme val="minor"/>
      </rPr>
      <t xml:space="preserve"> 3-р сарын PnL batch дахин ажиллуулах</t>
    </r>
  </si>
  <si>
    <t xml:space="preserve">
Khulan 
May 12, 2026 at 11:53 AM  Өмнөх 507 тикетийн хүрээнд хийх саналтай байна. Тикет давхардсан гэж үзэж байна.  
Аан за DC-507: Franchise settlement-н batch-г ахин нэг ажлуулж өгнө үү
Reopened
 энэ тикетэд коммент оруулаад өгөөрэй. Энэ тикетийг хаалаа. </t>
  </si>
  <si>
    <t>Nandintsetseg Odbaatar 12 May 2026 at 10:58
Барааны мастерийн ямар төлөвийг өөрчлөх гэж байгаа вэ ?</t>
  </si>
  <si>
    <t>Nandintsetseg Odbaatar 
4 цаг хийж гүйцэтгэх ажлын задаргааг хүргүүлж байна.
DB дээрхи датаны бүтэц, оруулах датаг шалгах - 30 мин
DB дээр оруулах query-г GP DEV DB дээр тестлэж баталгаажуулах - 30 мин
PROD DB дээр бараануудын өөрчлөлтийг оруулах, алдаа гарах эсэхийг хянах - 1 цаг 30 мин
Өөрчлөлт зөв орсон эсэхийг баталгаажуулж шалгах - 30 мин
Өөрчлөлт орсны дараагаар ORDER болон SMS-рүү гараар өөрчлөгдсөн датаг илгээх - 30 мин
Өөрчлөлт орсны дараагаар бусад batch-ууд хэвийн ажиллаж байгаа эсэхийг хянах - 30 мин
Мэдээлэл өгсөн тул тикетийг хааж байна. Шийдсэн Нандинцэцэг May 12, 2026 at 3:13 PM</t>
  </si>
  <si>
    <t>GP team рүү шалгах хүсэлт өгсөн</t>
  </si>
  <si>
    <t>Асуудалыг зассан тул тикетийг хааж байна.Шийдсэн Нандинцэцэг May 12, 2026 at 2:34 PM</t>
  </si>
  <si>
    <t>Nandintsetseg Odbaatar 
Асуулт:
Log мэдээлэл гэж системийн интеграцийн логийг хэлж байна уу эсвэл мониторинг ашиглаж буй хэрэглэгчидийн үйлдлийн логийг хэлж байна уу ?
Шинэ хэрэглэгч эрхийн тохиргоотой үүсгэх гэсэн байна. HQ SMS дээр нэвтэрдэг бүртгэлтэй хэрэглэгчүүдээр мониторинг систем дээр нэвтэрдэг байхаар зохион байгуулвал яаж байна ? Эсвэл заавал тусдаа хэрэглэгч нууц үгтэй бүртгэх хэрэгтэй байна уу ?
Үйлдэл бүрээр лог харах. Энэ дээр хандалт буюу хэзээ нэвтэрсэн лог, дахин илгээх товч дарсан лог, эрх тохируулсан лог байна гэж ойлголоо зөв үү ? Өөр байгаа бол үйлдэл бүрийн жагсаалтыг илгээж өгнө үү ?
Илгээгдээгүй мөрөөс датаг задалж харах ёстой гэдэг дээр BC -рүү яг тухайн  интеграци дээр ямар дата илгээснийг JSON-р харуулахад болох уу ? Receipt систем дээр баримтын мэдээллийг JSON -р харуулдаг шиг.</t>
  </si>
  <si>
    <t>IT-11; TFT-4</t>
  </si>
  <si>
    <r>
      <rPr>
        <b/>
        <sz val="11"/>
        <color rgb="FF000000"/>
        <rFont val="Aptos Narrow"/>
        <scheme val="minor"/>
      </rPr>
      <t xml:space="preserve">DC-558 </t>
    </r>
    <r>
      <rPr>
        <sz val="11"/>
        <color rgb="FF000000"/>
        <rFont val="Aptos Narrow"/>
        <scheme val="minor"/>
      </rPr>
      <t>v1334 салбар захиалга буруу бүсд хийгдсэн</t>
    </r>
  </si>
  <si>
    <r>
      <rPr>
        <b/>
        <sz val="11"/>
        <color rgb="FF000000"/>
        <rFont val="Aptos Narrow"/>
        <scheme val="minor"/>
      </rPr>
      <t xml:space="preserve">Nandintsetseg </t>
    </r>
    <r>
      <rPr>
        <sz val="11"/>
        <color rgb="FF000000"/>
        <rFont val="Aptos Narrow"/>
        <scheme val="minor"/>
      </rPr>
      <t>Шалгалаа. Тухайн цонхон дээр тооллого нь “Энгийн“ төрөл л болдог юм байна. Энгийнээс өөр төрөл бол энэ гараад байгаа алдаа нь гарч ирдэг код хөгжүүлэгдсэн байна. Энэ нь бизнес процесийн хувьд яагаад зөвхөн энгийнийг сонгох хэрэгтэй вэ ? Бусад үед нь ямар цонхноос хийхийг GSR талаас асуух юм байна даа</t>
    </r>
  </si>
  <si>
    <t>Nandintsetseg Odbaatar 
Асуулт: Log мэдээлэл гэж системийн интеграцийн логийг хэлж байна уу эсвэл мониторинг ашиглаж буй хэрэглэгчидийн үйлдлийн логийг хэлж байна уу ?
Шинэ хэрэглэгч эрхийн тохиргоотой үүсгэх гэсэн байна. HQ SMS дээр нэвтэрдэг бүртгэлтэй хэрэглэгчүүдээр мониторинг систем дээр нэвтэрдэг байхаар зохион байгуулвал яаж байна ? Эсвэл заавал тусдаа хэрэглэгч нууц үгтэй бүртгэх хэрэгтэй байна уу ?
Үйлдэл бүрээр лог харах. Энэ дээр хандалт буюу хэзээ нэвтэрсэн лог, дахин илгээх товч дарсан лог, эрх тохируулсан лог байна гэж ойлголоо зөв үү ? Өөр байгаа бол үйлдэл бүрийн жагсаалтыг илгээж өгнө үү ?
Илгээгдээгүй мөрөөс датаг задалж харах ёстой гэдэг дээр BC -рүү яг тухайн  интеграци дээр ямар дата илгээснийг JSON-р харуулахад болох уу ? Receipt систем дээр баримтын мэдээллийг JSON -р харуулдаг шиг.</t>
  </si>
  <si>
    <t>Nandintsetseg Odbaatar 14 May 2026 at 13:31
BC систем-ээс дараах алдаа өгөөд илгээгдээгүй байна. Дахин илгээх төлөвт оруулсан.
The operation could not be completed. Please try again later.
You experienced intermittent database connectivity issues. This could have happened because we rebalanced your resources to provide you with a better experience. If the issue continues, please contact your system administrator.</t>
  </si>
  <si>
    <t>IT-8; TFT-4</t>
  </si>
  <si>
    <r>
      <rPr>
        <b/>
        <sz val="11"/>
        <color rgb="FF000000"/>
        <rFont val="Aptos Narrow"/>
        <scheme val="minor"/>
      </rPr>
      <t>DC-569</t>
    </r>
    <r>
      <rPr>
        <sz val="11"/>
        <color rgb="FF000000"/>
        <rFont val="Aptos Narrow"/>
        <scheme val="minor"/>
      </rPr>
      <t xml:space="preserve"> Inbound-н мэдээлэл орж ирээгүй</t>
    </r>
  </si>
  <si>
    <t>Nandintsetseg Odbaatar  Асуулт: Log мэдээлэл гэж системийн интеграцийн логийг хэлж байна уу эсвэл мониторинг ашиглаж буй хэрэглэгчидийн үйлдлийн логийг хэлж байна уу ?
Шинэ хэрэглэгч эрхийн тохиргоотой үүсгэх гэсэн байна. HQ SMS дээр нэвтэрдэг бүртгэлтэй хэрэглэгчүүдээр мониторинг систем дээр нэвтэрдэг байхаар зохион байгуулвал яаж байна ? Эсвэл заавал тусдаа хэрэглэгч нууц үгтэй бүртгэх хэрэгтэй байна уу ? Үйлдэл бүрээр лог харах. Энэ дээр хандалт буюу хэзээ нэвтэрсэн лог, дахин илгээх товч дарсан лог, эрх тохируулсан лог байна гэж ойлголоо зөв үү ? Өөр байгаа бол үйлдэл бүрийн жагсаалтыг илгээж өгнө үү ? Илгээгдээгүй мөрөөс датаг задалж харах ёстой гэдэг дээр BC -рүү яг тухайн  интеграци дээр ямар дата илгээснийг JSON-р харуулахад болох уу ? Receipt систем дээр баримтын мэдээллийг JSON -р харуулдаг шиг.</t>
  </si>
  <si>
    <t>Nandintsetseg Odbaatar 
DC System Team-с асуусан асуултанд хариу мэйл илгээсэн</t>
  </si>
  <si>
    <t>Nandintsetseg Odbaatar
Hi shalgalaa, 2026-05-06 21:27:57.000 ene tsagiin ued 2930050560019-dugaartai Глори тити ХХК hereglegch Baraa orlogdoh tsonhnoos salbaraas inbound uusgesen baina. 
image-20260513-034901.png
Khulan
Энэ асуудал TFT DC-488: TFT #A7 Fixed an issue where the purchase date was incorrectly saved during SMS inbound processing
Reopened
 тикеттэй адил асуудал шиг харагдаж байна. 
Салбар inbound гэх багананд тоо орж ирсэн бол салбараас зөрүү оруулсан байна гэсэн үг мөн тэр тоог HQ дээр төв оффис ажилтан хянаад баталгаажуулах ёстой, баталгаажуулсаны дараа системүүдийн орлого, үлдэгдэлийн цонхонд шууд нөлөөлөх процесстой тиймээс та бүхэн болсон процессийг сайн шалгаж хариу хүргүүлнэ үү. Манай талаас энэ асуудалыг доголдол гэж үзэхгүй байна та бүхэн сайн шалгаад эргээд хэлээрэй</t>
  </si>
  <si>
    <t>IT-7; TFT-4</t>
  </si>
  <si>
    <t>Nandintsetseg Odbaatar
Tuhain salbar deer 20260509-nd toollogo hiigdsen baina. Harin ilgeesen havsraltnii zurag deer 20260508-naar oruulsan baina. Tegheer 8-nd toolson toollogo baihgui tul toollogiin ur dun huleen avah gesen aldaa garaad baigaa yum baina.  20260509-aar uzeerei. Тооллогоо хүлээн авсан тул тикетийг хааж байна. Шийдсэн Нандинцэцэг May 13, 2026 at 5:18 PM</t>
  </si>
  <si>
    <t>Nandintsetseg Odbaatar
Engiin toollogoos busad toollogiig yagad tuv salbarluu ilgeedeggui butsaaltaar shiiddeg ni tsaanaa uchirtai baih aa. Ene talaar delgerengui GSR talaas asuuy. Mun hugjuulelteer engiinees busad toollogiig tuv salbarluu ilgeeh bolomjtoi esehiig sudlaad tgeed hariu heliy.
GSR-с ирсэн хариуний дагуу DC дотооддоо ярилцан шийдхээр болсон тул тикетийг хааж байна. Шийдсэн Нандинцэцэг May 14, 2026 at 10:31 AM</t>
  </si>
  <si>
    <t>Nandintsetseg Odbaatar 14 May 2026 at 13:31
BC систем-ээс дараах алдаа өгөөд илгээгдээгүй байна. Дахин илгээх төлөвт оруулсан. The operation could not be completed. Please try again later.
You experienced intermittent database connectivity issues. This could have happened because we rebalanced your resources to provide you with a better experience. If the issue continues, please contact your system administrator.</t>
  </si>
  <si>
    <t>Nandintsetseg Odbaatar
Бүгд илгээгдсэн тул тикетийг хааж байна. Шийдсэн Нандинцэцэг May 13, 2026 at 5:47 PM</t>
  </si>
  <si>
    <r>
      <rPr>
        <b/>
        <sz val="11"/>
        <color rgb="FF000000"/>
        <rFont val="Aptos Narrow"/>
        <scheme val="minor"/>
      </rPr>
      <t xml:space="preserve">DC-566 </t>
    </r>
    <r>
      <rPr>
        <sz val="11"/>
        <color rgb="FF000000"/>
        <rFont val="Aptos Narrow"/>
        <scheme val="minor"/>
      </rPr>
      <t>V5017 салбарын тооллого Sms дээрээ хүлээн аваагүй</t>
    </r>
  </si>
  <si>
    <t>Khulan  @Nandintsetseg Odbaatar  үлдэгдэлийг хүсэлтийн дагуу нөлөөлүүлж өгнө үү.</t>
  </si>
  <si>
    <t xml:space="preserve">
Khulan 
May 14, 2026 at 4:26 PM
Nandintsetseg Odbaatar
Oroi 17 tsagaas uldegdel bodogdoj ehelheer tohiruulsan. Ticketiig haaj baina. </t>
  </si>
  <si>
    <t>DC-с хариу хүлээж байна</t>
  </si>
  <si>
    <t xml:space="preserve">V1334  салбарын асуудалыг зассан бусад салбаруудыг засна </t>
  </si>
  <si>
    <t>IT-13; TFT-4</t>
  </si>
  <si>
    <t>GS25 APP</t>
  </si>
  <si>
    <r>
      <rPr>
        <b/>
        <sz val="11"/>
        <color rgb="FF000000"/>
        <rFont val="Aptos Narrow"/>
        <scheme val="minor"/>
      </rPr>
      <t>DC-575</t>
    </r>
    <r>
      <rPr>
        <sz val="11"/>
        <color rgb="FF000000"/>
        <rFont val="Aptos Narrow"/>
        <scheme val="minor"/>
      </rPr>
      <t xml:space="preserve"> Стикертэй урамшуулал дарж ороход дэлгэрэнгүй мэдээлэл харагдахгүй</t>
    </r>
  </si>
  <si>
    <t>App team рүү шалгах хүсэлт өгсөн</t>
  </si>
  <si>
    <r>
      <rPr>
        <b/>
        <sz val="11"/>
        <color rgb="FF000000"/>
        <rFont val="Aptos Narrow"/>
        <scheme val="minor"/>
      </rPr>
      <t>DC-576</t>
    </r>
    <r>
      <rPr>
        <sz val="11"/>
        <color rgb="FF000000"/>
        <rFont val="Aptos Narrow"/>
        <scheme val="minor"/>
      </rPr>
      <t xml:space="preserve"> Захиалга хийгээгүй бараа нь дээр орлого үүссэн /9004 агуулах/</t>
    </r>
  </si>
  <si>
    <r>
      <rPr>
        <b/>
        <sz val="11"/>
        <color rgb="FF000000"/>
        <rFont val="Aptos Narrow"/>
        <scheme val="minor"/>
      </rPr>
      <t>DC-577</t>
    </r>
    <r>
      <rPr>
        <sz val="11"/>
        <color rgb="FF000000"/>
        <rFont val="Aptos Narrow"/>
        <scheme val="minor"/>
      </rPr>
      <t xml:space="preserve"> sales price шалгуулах</t>
    </r>
  </si>
  <si>
    <t xml:space="preserve">Nandintsetseg Өдрийн мэнд. Би одоо яаралтайгаар дэлгүүрийн тооллогын BC-рүү илгээх интеграц хийж байгаа. Энэхүү ажлыг хийж дууссаны дараа шууд хийгдэнэ. </t>
  </si>
  <si>
    <r>
      <rPr>
        <b/>
        <sz val="11"/>
        <color rgb="FF000000"/>
        <rFont val="Calibri"/>
      </rPr>
      <t xml:space="preserve">DC-572 </t>
    </r>
    <r>
      <rPr>
        <sz val="11"/>
        <color rgb="FF000000"/>
        <rFont val="Calibri"/>
      </rPr>
      <t>GS25 app дан системээр баталгаажуулж болохгүй байгаа</t>
    </r>
  </si>
  <si>
    <t>Доголдол                                             Medium</t>
  </si>
  <si>
    <t>Апп дээр ДАН систем холбох үед дахин оролдоно уу гэсэн гэсэн бичиг гарч ирээд дан системээр баталгаажуулж болохгүй байгааг шалгаж өгнө үү.</t>
  </si>
  <si>
    <r>
      <rPr>
        <b/>
        <sz val="11"/>
        <color rgb="FF000000"/>
        <rFont val="Calibri"/>
      </rPr>
      <t>DC-570</t>
    </r>
    <r>
      <rPr>
        <sz val="11"/>
        <color rgb="FF000000"/>
        <rFont val="Calibri"/>
      </rPr>
      <t xml:space="preserve"> идэвхтэй байгаа урамшууллын мэдээлэл саарал өнгөтэй идэвхгүй байгаа юм шиг харагдаж байна.</t>
    </r>
  </si>
  <si>
    <t>Апп миний урамшуулал хэсэгт идэвхтэй байгаа урамшууллын мэдээлэл саарал өнгөтэй идэвхгүй байгаа юм шиг харагдаж байгааг шалгаж өгнө үү.</t>
  </si>
  <si>
    <t>Oyunbaatar Baatar 
app update-iin talaar databanknii sdk shinechluulj avj bga terentei hamt oruulah bha
voucheriin aldaag n shalgaj bn ergeed medegdey</t>
  </si>
  <si>
    <t>IT-12; TFT-4</t>
  </si>
  <si>
    <r>
      <rPr>
        <b/>
        <sz val="11"/>
        <color rgb="FF000000"/>
        <rFont val="Aptos Narrow"/>
        <scheme val="minor"/>
      </rPr>
      <t xml:space="preserve">DC-578 </t>
    </r>
    <r>
      <rPr>
        <sz val="11"/>
        <color rgb="FF000000"/>
        <rFont val="Aptos Narrow"/>
        <scheme val="minor"/>
      </rPr>
      <t>Franchise&gt;Master&gt; Франчайз салбар удирдах нөхцөл цонх&gt; Дэлгүүрийн нээлтийн хөрөнгө оруулалтын хуудасны менежмент гэх хэсэг</t>
    </r>
  </si>
  <si>
    <r>
      <rPr>
        <b/>
        <sz val="11"/>
        <color rgb="FF000000"/>
        <rFont val="Aptos Narrow"/>
        <scheme val="minor"/>
      </rPr>
      <t>DC-579</t>
    </r>
    <r>
      <rPr>
        <sz val="11"/>
        <color rgb="FF000000"/>
        <rFont val="Aptos Narrow"/>
        <scheme val="minor"/>
      </rPr>
      <t xml:space="preserve"> Салбар хоорондыг хөдөлгөөний дата</t>
    </r>
  </si>
  <si>
    <t>Unurjargal
Тус асуудлыг шалгаж үзэхэд:
Дан холболт дээрх API дээр өөрчлөгдсөн тул Үндэсний дата төв дээр Redirect url-г шинэчлүүлэх шаардлагатай байна. Доорх мэдээллийг ҮДТ-рүү мэдэгдэж өгнө үү.
Өмнө нь - DAN_REDIRECT_URL = https://admin.digitalconcept.mn/api/v1/integration/kyc
Одоо солиулах - DAN_REDIRECT_URL = https://admin.digitalconcept.mn/api/v3/integration/kyc
Манай талаас хийх зүйлээ May 18, 2026 оруулсан учраас одоо хийх зүйл байхгүй тул тикетийг хааж байна.</t>
  </si>
  <si>
    <t>Unurjargal 
Ios, Android дээр апп-н update 2026.05.20 10:36 цагт орсон. Шийдсэн Дүүрэнбаяр Оюунбаатар May 20, 2026 at 11:05 AM
Асуудал засагдсан тул тикетийг хааж байна.</t>
  </si>
  <si>
    <r>
      <rPr>
        <b/>
        <sz val="11"/>
        <color rgb="FF000000"/>
        <rFont val="Aptos Narrow"/>
        <scheme val="minor"/>
      </rPr>
      <t>DC-580</t>
    </r>
    <r>
      <rPr>
        <sz val="11"/>
        <color rgb="FF000000"/>
        <rFont val="Aptos Narrow"/>
        <scheme val="minor"/>
      </rPr>
      <t xml:space="preserve"> Нууц үг таарахгүй байгаа тухай</t>
    </r>
  </si>
  <si>
    <t>Nandintsetseg
EAI -aar ilgeegdeegui gatssan asuudal garsan baina. Suuld ticket deer ilgeesen password-oos uuruur solison baina shuu suuld solisnooroo nevtreed uzeerei. Шалгаад болсон тул тикетийг хааж байна. Шийдсэн Нандинцэцэг May 20, 2026 at 5:23 PM</t>
  </si>
  <si>
    <r>
      <rPr>
        <b/>
        <sz val="11"/>
        <color rgb="FF000000"/>
        <rFont val="Aptos Narrow"/>
        <scheme val="minor"/>
      </rPr>
      <t>DC-577</t>
    </r>
    <r>
      <rPr>
        <sz val="11"/>
        <color rgb="FF000000"/>
        <rFont val="Aptos Narrow"/>
        <scheme val="minor"/>
      </rPr>
      <t xml:space="preserve"> Sales price шалгуулах</t>
    </r>
  </si>
  <si>
    <t>IT-11 ; TFT-4</t>
  </si>
  <si>
    <t>Tuvshinjargal
batch-г дахин ажиллуулсан May 19, 2026 at 2:43 PM Шийдсэн Түвшинжаргал тикетийг хааж байна.</t>
  </si>
  <si>
    <t xml:space="preserve">Day </t>
  </si>
  <si>
    <t xml:space="preserve">Assign </t>
  </si>
  <si>
    <t>IT-14 ; TFT-4</t>
  </si>
  <si>
    <t>Khulan 
May 25, 2026 at 2:44 PM
Shalgasan. Balas tald shine uurchlult hiigdsen baisan. Balas tal uursduu ch medehgui baigaa tul shalgaj baina gesen hariu ugsun.
Үнийн өөрчлөлт болон тул тикетийг хааж байна. Шийдсэн Нандинцэцэг May 25, 2026 at 11:57 AM</t>
  </si>
  <si>
    <r>
      <rPr>
        <b/>
        <sz val="11"/>
        <color rgb="FF000000"/>
        <rFont val="Aptos Narrow"/>
        <scheme val="minor"/>
      </rPr>
      <t>DC-585</t>
    </r>
    <r>
      <rPr>
        <sz val="11"/>
        <color rgb="FF000000"/>
        <rFont val="Aptos Narrow"/>
        <scheme val="minor"/>
      </rPr>
      <t xml:space="preserve"> 2026.5сарын23ны inbound-г шалгаж болохгүй гацсан</t>
    </r>
  </si>
  <si>
    <r>
      <rPr>
        <b/>
        <sz val="11"/>
        <color rgb="FF000000"/>
        <rFont val="Aptos Narrow"/>
        <scheme val="minor"/>
      </rPr>
      <t>DC-586</t>
    </r>
    <r>
      <rPr>
        <sz val="11"/>
        <color rgb="FF000000"/>
        <rFont val="Aptos Narrow"/>
        <scheme val="minor"/>
      </rPr>
      <t xml:space="preserve"> 5сарын 20-21 хүртэл 8 баримт BC рүү илгээгдээгүй</t>
    </r>
  </si>
  <si>
    <r>
      <rPr>
        <b/>
        <sz val="11"/>
        <color rgb="FF000000"/>
        <rFont val="Aptos Narrow"/>
        <scheme val="minor"/>
      </rPr>
      <t>DC-587</t>
    </r>
    <r>
      <rPr>
        <sz val="11"/>
        <color rgb="FF000000"/>
        <rFont val="Aptos Narrow"/>
        <scheme val="minor"/>
      </rPr>
      <t xml:space="preserve"> App дээр sticker цуглуулж авсан урамшууллын бараа үлдэгдлээс хасагдаагүй</t>
    </r>
  </si>
  <si>
    <r>
      <rPr>
        <b/>
        <sz val="11"/>
        <color rgb="FF000000"/>
        <rFont val="Aptos Narrow"/>
        <scheme val="minor"/>
      </rPr>
      <t xml:space="preserve">DC-588 </t>
    </r>
    <r>
      <rPr>
        <sz val="11"/>
        <color rgb="FF000000"/>
        <rFont val="Aptos Narrow"/>
        <scheme val="minor"/>
      </rPr>
      <t>Fra 5сарын 20-24 хүртэл 31 баримт BC рүү илгээгдээгүй</t>
    </r>
  </si>
  <si>
    <r>
      <rPr>
        <b/>
        <sz val="11"/>
        <color rgb="FF000000"/>
        <rFont val="Aptos Narrow"/>
        <scheme val="minor"/>
      </rPr>
      <t xml:space="preserve">DC-558 </t>
    </r>
    <r>
      <rPr>
        <sz val="11"/>
        <color rgb="FF000000"/>
        <rFont val="Aptos Narrow"/>
        <scheme val="minor"/>
      </rPr>
      <t>V1334 салбар захиалга буруу бүсд хийгдсэн</t>
    </r>
  </si>
  <si>
    <t>IT-13 ; TFT-3</t>
  </si>
  <si>
    <r>
      <rPr>
        <b/>
        <sz val="11"/>
        <color rgb="FF000000"/>
        <rFont val="Aptos Narrow"/>
        <scheme val="minor"/>
      </rPr>
      <t xml:space="preserve">TFT-315 </t>
    </r>
    <r>
      <rPr>
        <sz val="11"/>
        <color rgb="FF000000"/>
        <rFont val="Aptos Narrow"/>
        <scheme val="minor"/>
      </rPr>
      <t>TFT #08 Борлуулалтын дундуур тооллого хийх тухай</t>
    </r>
  </si>
  <si>
    <t xml:space="preserve">
Khulan 
эхний нэг салбар дээр нээлттэй тооллого хийгээд мөшгиж үзээд амжилттай болсон тул тикетийг хааж байна. Шийдсэн Ариунболд Хатанбүүвэй May 4, 2026 at 11:53 AM</t>
  </si>
  <si>
    <t xml:space="preserve">Сайжруулалт- Medium  </t>
  </si>
  <si>
    <t>Khuslen Ichinkhorloo
Орлогын үр дүнгийн жагсаалт:  Их хэмжээний илэрцийн мэдээлэл уншихад гацаж байгаа асуудалд сайжруулалт хийсэн амжилттай болсон тул тикетийн төрөл доголдол байсанг сайжруулалт болгон тикетийг хааж байна. Шийдсэн Хүслэн May 26, 2026 at 11:06 AM</t>
  </si>
  <si>
    <t>BC Production orchin-ruu amjilttai ilgeegdej duussan tul ticketiig haaj baina. Shiidsen Nandintsetseg May 26, 2026 at 1:58 PM</t>
  </si>
  <si>
    <r>
      <rPr>
        <b/>
        <sz val="11"/>
        <color rgb="FF000000"/>
        <rFont val="Aptos Narrow"/>
        <scheme val="minor"/>
      </rPr>
      <t>DC-590</t>
    </r>
    <r>
      <rPr>
        <sz val="11"/>
        <color rgb="FF000000"/>
        <rFont val="Aptos Narrow"/>
        <scheme val="minor"/>
      </rPr>
      <t xml:space="preserve"> SMS&gt;Тооцоо нийлэх&gt; Бэлэн мөнгө тушаалт цонх Шилжүүлгийн зөрүү (хуримтлагдсан) баганын дүн буруу харуулж байгаа тухай</t>
    </r>
  </si>
  <si>
    <t xml:space="preserve">
Khulan 
Бэлэн мөнгө тушаалт цонхонд бид огт өөрчлөлт хийгээгүй GP-ийн анхны тооцоолол томьёогоор байгаа. Энэхүү цонхны тооцоолол нь хэрхэн бодогдож гарч байгааг өмнө нь танай санхүүгийн багтай уулзалтаар  тайлбарлаж нэг ойлголтонд хүрч байсан. Харин танайхаас тус цонх шаардлага хангахгүй байна гээд  өгсөн шаардлага хүсэлтийн дагуу  SMS, HQ системүүдэд кассын гүйлгээний лавлагаа гэх цонхыг зөв тооцооололтойгоор хийсэн. Тиймээс энэ тикетийг доголдол биш мэдээлэл өгсөн төрлөөр хаах хүсэлтэй байна.</t>
  </si>
  <si>
    <t>IT-13 ; TFT-2</t>
  </si>
  <si>
    <t xml:space="preserve">hulan 
May 27, 2026 at 3:21 PM
Өмнөх DCс ирсэн хүсэлтийн дагуу batch-ийг амжилттай ажилуулсан. Эргээд ямар нэгэн асуудал хэлээгүй тул тикетийг хааж байна. </t>
  </si>
  <si>
    <t xml:space="preserve">
Khulan 
May 27, 2026 at 3:13 PM
Khuslen 
Бүгд амжилттай илгээгдсэн тул тикетийг хааж байна. Шийдсэн Хүслэн May 27, 2026 at 2:05 PM
The operation could not be completed. Please try again later. You experienced intermittent database connectivity issues. This could have happened because we rebalanced your resources to provide you with a better experience. If the issue continues, please contact your system administrator.  CorrelationId:  326cef1f-a7c7-44f5-83eb-63979b22ecab.
The operation could not be completed. Please try again later. You experienced intermittent database connectivity issues. This could have happened because we rebalanced your resources to provide you with a better experience. If the issue continues, please contact your system administrator.  CorrelationId:  c7e31471-b606-4f5f-ab32-8908c06f94bd.</t>
  </si>
  <si>
    <r>
      <rPr>
        <b/>
        <sz val="11"/>
        <color rgb="FF000000"/>
        <rFont val="Aptos Narrow"/>
        <scheme val="minor"/>
      </rPr>
      <t>DC-595</t>
    </r>
    <r>
      <rPr>
        <sz val="11"/>
        <color rgb="FF000000"/>
        <rFont val="Aptos Narrow"/>
        <scheme val="minor"/>
      </rPr>
      <t xml:space="preserve"> Post хийгдсэн shipment sms дээр нөлөөлөөгүй</t>
    </r>
  </si>
  <si>
    <t>Nandintsetseg
Шалгалаа. BC -ээс тухайн салбарын 20260430-ы өдрийн захиалгыг 2 салгаж POST хийсэн байна. Тикетийн төрлийг мэдээлэл өгсөн төлөвтэй болгон хааж байна. Шийдсэн Нандинцэцэг May 27, 2026 at 5:49 PM</t>
  </si>
  <si>
    <r>
      <rPr>
        <b/>
        <sz val="11"/>
        <color rgb="FF000000"/>
        <rFont val="Aptos Narrow"/>
        <scheme val="minor"/>
      </rPr>
      <t xml:space="preserve">DC-594 </t>
    </r>
    <r>
      <rPr>
        <sz val="11"/>
        <color rgb="FF000000"/>
        <rFont val="Aptos Narrow"/>
        <scheme val="minor"/>
      </rPr>
      <t>V1035 - Салбар шилжүүлэх төрлөөр тооллого нээсэн</t>
    </r>
  </si>
  <si>
    <t xml:space="preserve">
Khulan 
May 27, 2026 at 5:02 PM
Nandintsetseg
 Өмнө нь байс энэ төрлийн тикет үүссэн түүний дагуу GSR-аас тодруулахад: Энгийн тооллогын үед л энэхүү функц нь боломжтой харин салбар шилжүүлэх үед GSR тал буцаалтаар шийддэг гэж хариу өгсөн. энэхүү бизнес процесийг дэлгэрэнгүй GSR-mай холбогдон асуугаарай. Хэрэв тооллогоороо шийднэ гэвэл GSR-т байгаагүй логик учир нилээн хэдэн шинэ хөгжүүлэлт хийгдэх болно.</t>
  </si>
  <si>
    <t>IT-11 ; TFT-2</t>
  </si>
  <si>
    <t>Илгээж дууссан, амжилттай явсан тул тикетийг хааж байна. Шийдсэн Хүслэн May 27, 2026 at 2:41 PM</t>
  </si>
  <si>
    <t>Nandintsetseg
 Өмнө нь байс энэ төрлийн тикет үүссэн түүний дагуу GSR-аас тодруулахад: Энгийн тооллогын үед л энэхүү функц нь боломжтой харин салбар шилжүүлэх үед GSR тал буцаалтаар шийддэг гэж хариу өгсөн. энэхүү бизнес процесийг дэлгэрэнгүй GSR-mай холбогдон асуугаарай. Хэрэв тооллогоороо шийднэ гэвэл GSR-т байгаагүй логик учир нилээн хэдэн шинэ хөгжүүлэлт хийгдэх болно. Мэдээлэл өгсөн тул тикетийг хааж байна. Шийдсэн Нандинцэцэг May 27, 2026 at 5:02 PM</t>
  </si>
  <si>
    <t>tuvshinjargal 
Засварыг оруулсан. ticket-г хаах саналтай байна.</t>
  </si>
  <si>
    <t>Tuvshinjargal 
Засвар амжилттай орсон тул тикетийг хааж байна. Шийдсэн Түвшинжаргал May 28, 2026 at 9:19 AM</t>
  </si>
  <si>
    <t>Nandintsetseg
Энэхүү асуудал нь GP процесоор ажиллаж байгаа бөгөөл хэрхэн ажиллах тайлбар хүргүүлсэн тул тикетийн төрлийг сольж өгнө үү. Баярлалаа.</t>
  </si>
  <si>
    <t>Nandintsetseg
Энэхүү асуудал нь GP процесоор ажиллаж байгаа бөгөөд хэрхэн ажиллах тайлбар хүргүүлсэн тул тикетийн төрлийг мэдээлэл өгсөн болгон хааж байна. Шалгаад асуудал байвал эргээд нээх боломжтой юм. Шийдсэн Нандинцэцэг May 25, 2026 at 11:19 AM</t>
  </si>
  <si>
    <r>
      <rPr>
        <b/>
        <sz val="11"/>
        <color rgb="FF000000"/>
        <rFont val="Aptos Narrow"/>
        <scheme val="minor"/>
      </rPr>
      <t>DC-600</t>
    </r>
    <r>
      <rPr>
        <sz val="11"/>
        <color rgb="FF000000"/>
        <rFont val="Aptos Narrow"/>
        <scheme val="minor"/>
      </rPr>
      <t xml:space="preserve"> Shipment 2 хувааж пост хийсэн тухай</t>
    </r>
  </si>
  <si>
    <r>
      <rPr>
        <b/>
        <sz val="11"/>
        <color rgb="FF000000"/>
        <rFont val="Aptos Narrow"/>
        <scheme val="minor"/>
      </rPr>
      <t xml:space="preserve">DC-601 </t>
    </r>
    <r>
      <rPr>
        <sz val="11"/>
        <color rgb="FF000000"/>
        <rFont val="Aptos Narrow"/>
        <scheme val="minor"/>
      </rPr>
      <t>Захиалга дээр категори дутуу орж ирж байгаа</t>
    </r>
  </si>
  <si>
    <t xml:space="preserve">Ariunbold
Integration log-ийн template file-г хавсралтаар хүргүүлж байна. Тооллогын тест хийгдсэний дараагаар гарсан үр дүнг илгээеbc-integration-log-reference 1.xlsx </t>
  </si>
  <si>
    <t>DC-с эцсийн байдлаар шаардлага ирсэн</t>
  </si>
  <si>
    <t>Khulan 
@tuvshinjargal @Nandintsetseg Odbaatar энэ хэзээ болох вэ явцийн мэдээлэл өгнө үү.</t>
  </si>
  <si>
    <t xml:space="preserve">Khulan 
@Khuslen  Ichinkhorloo uur sandbox ruu yvuulah huselt ugsun bna bolomjtoi yu DC-s shaardah avah yum bnu </t>
  </si>
  <si>
    <t xml:space="preserve">Khulan 
Уулзалтаар ярилцсаны дагуу бидэнд дахин нэг жишээ илгээж өгнө үү. </t>
  </si>
  <si>
    <t>Ariunbold 
Batch амжилттай ажиллах бүх нөхцөл, шалгуурууд бүрэн хангагдаж 12 минут тутам илгээгдэх хувиарын дагуу бүгд илгээгдсэн ч бааз дээр lock-логдож ямар нэгэн үйлдэл хийгдхээргүй болж тухайн салбарын дата илгээгдээгүй гэж харж байна.
Энэхүү алдаа нь яагаад гарсан талаар дэлгэрэнгүй судлахад хугацаа их орох ба шалтгааныг бүрэн илрүүлэхгүй байх боломжтой тул сайжруулах шаардлагатай ажлыг тодорхойлж хийх боломжгүй байх магадлалтай.
Харин дата нөхөж зөв оруулах ажлын хүрээнд бид бүхэн бааз дээрээс тухайн өдрүүдийн inbound бүртгэлийн хаалттай төлөвийг нээж бааз дээр тооны өөрчлөлт оруулсан тохиолдолд бусад бүх салбарын inbound нь нээлттэй болсноор ямар нэгэн том эрсдэл үүсэх магадлалтай гэж үзэж байгаа тул гараар тухайн салбарын inbound-г өөр нэг өдөр DC талаас нөхөн оруулах саналтай байна.
Өмнө нь хавсралтаар илгээсэн excel file дээрхи датаг ирээдүйн 1 өдрийн бүртгэх inbound дээр нэмэлтээр бүртгэхэд асуудал шийдэгдэнэ гэж харж байна</t>
  </si>
  <si>
    <t>riunbold 
Одоогоор GP систем нь дараах байдлаар ажиллаж байна.
GP бүртгэгдсэн урамшууллууд болон Борлуулалт хийгдсэн бараанууд POS-с SMS-р дамжин HQS дээр очиж үлдэгдэлд нөлөөлж байна.
Харин LMS дээр бүртгэгдсэн бүх урамшуулал нь GP-ийн хувьд борлуулалтийн 1 төрлөөр бүртгэгддэг ба тухайн борлуулалтын төрөл нь POS-с SMS-рүү бичигдэж HQS-рүү дамждаггүй өөрөөр хэлбэр үлдэгдэлд нөлөөлөх table-рүү бичигддэггүй.
Энэхүү асуудал үүссэн шалтгаан нь:
LMS анх хөгжүүлэгдэж GP системтэй интеграци хийгдэх үед тухайн LMS дээр бүртгэсэн урамшууллын төрлүүдээс шалтгаалан GP системийн үлдэгдэлд хэрхэн нөлөөлөх тухай шаардлагыг DC талаас тодорхойлж өгөөгүй байна.
Энэхүү үлдэгдэлд хэрхэн нөлөөлөх тухай шаардлагыг DC багаас Санхүүтэйгээ ярьж ирүүлэх хүсэлт тавьсан ч ямар нэгэн хариу ирээгүйгээр энэхүү үлдэгдэлд нөлөөлөх хөгжүүлэлт нь хийгдээгүй байна.
Харин тухайн SMS-н цонхонд харагдаж буй урамшууллын тоо нь зөвхөн SMS-н цонхонд харуулж буй тоо ба HQS-рүү илгээгдэж үлдэгдэлд ямар нэгэн байдлаар нөлөөлөөгүй тоо байна.
Цаашид хийх боломжит хөгжүүлэлт:
Санхүүгийн багтайгаа ярилцан LMS дээр бүртгэж байгаа урамшууллууд нь ямар байдлаар хэрхэн GP-н үлдэгдэлд нөлөөлөх тухай нэг ойлголтод хүрэн ZT багруу хөгжүүлэлтийн шаардлага хүргүүлснээр хөгжүүлэлт хийн үлдэгдэлд нөлөөлүүлэх боломжтой.
Энэхүү ажил нь мөн анхны LMS гэрээний хүрээнд тусгагдаж хийгдээгүй тул нэмэлт төлбөртэй хийгдэхийг анхаарна уу.</t>
  </si>
  <si>
    <t>Ariunbold
Тухайн цонхны тооцоолж буй томьёо нь зөвхөн өмнөх өдөр болон тухайн өдрийн тоонууд дээр үндэслэл тооцоолол хийж байсан. Харин DC талаас өгсөн шаардлага дээр тухайн дүн нь хуримтлагдсан дүн байх шаардлага тавьсан. Тиймээс тухайн цонхны 1 багана дээр өөрчлөлт орох бус харин шинэ table дээр хуримтлагдсан дүнг хадгалж тухайн дүнг өдөр бүр тооцож харуулах шинэ хөгжүүлэлт хийх шаардлагатай байсан тул шинэ цонх хөгжүүлэхээр талууд харилцан тохиролцож хийсэн. Энэхүү мэдээллийг мөн DC дотооддоо солилцоод явбал зүгээр байна. Хийсэн ажлууд дээр манайх тухай бүр тайлбар хийх нь зөв гэж үзэхгүй байна.</t>
  </si>
  <si>
    <t>IT-10 ; TFT-2</t>
  </si>
  <si>
    <t>Ariunbold 
Шаардлага дээр тохирч гэрээний төслийг имэйлээр илгээсэн тул цаашид имэйлээр харилцаж энэхүү тикетийг хааж байна.</t>
  </si>
  <si>
    <t>Nandintsetseg
Tuhain salbar deer 5 sariin 1 bolon 5 sariin 2-nd BC-ees POST hiigdej orj irsen baina. BC Monitoring hugjuulegdej duusaad BC to GP integration-ees hynaj bolno.</t>
  </si>
  <si>
    <r>
      <rPr>
        <b/>
        <sz val="11"/>
        <color rgb="FF000000"/>
        <rFont val="Aptos Narrow"/>
        <scheme val="minor"/>
      </rPr>
      <t>DC-604</t>
    </r>
    <r>
      <rPr>
        <sz val="11"/>
        <color rgb="FF000000"/>
        <rFont val="Aptos Narrow"/>
        <scheme val="minor"/>
      </rPr>
      <t xml:space="preserve">  Захиалгын цагийн хуваарийг 1цагаар хойшлуулах хүсэлт</t>
    </r>
  </si>
  <si>
    <t xml:space="preserve">
Ariunbold 
June 2, 2026 at 10:51 AM
Internal note
Боломжгүй ээ. Энэ нь зөвхөн тохиргоо өөрчлөх ажил биш ба бид бүхэн код дээр өөрчлөлт оруулж, амжилттай болсон эсэхийг тест дээр эхлээд тестлэн үзэж амжилттай бол prod-руу оруулах ажил юм.</t>
  </si>
  <si>
    <r>
      <rPr>
        <b/>
        <sz val="11"/>
        <color rgb="FF000000"/>
        <rFont val="Aptos Narrow"/>
        <scheme val="minor"/>
      </rPr>
      <t>DC-603</t>
    </r>
    <r>
      <rPr>
        <sz val="11"/>
        <color rgb="FF000000"/>
        <rFont val="Aptos Narrow"/>
        <scheme val="minor"/>
      </rPr>
      <t xml:space="preserve"> 2026/5/26-5/27 3баримт BC рүү илгээгдээгүй</t>
    </r>
  </si>
  <si>
    <t>Khuslen
sms deer heviin haragdag bolson. sms deerees dahin shalgaad uzeerei. user_id = 2930061640014 tai hun 6.1 nd borluulah bolomjtoi baraand nemsen bn. ticketiig medeelel ugsun bolgon haaj bna. Shiidsen Khuslen June 2, 2026 at 11:23 AM</t>
  </si>
  <si>
    <t>Khuslen
adilhan aldaa garsan bn. dahin ilgeeh tuluvt oruulaad amijilttai bolson tul ticketiig haaj baina.
{receiptNo : V1126202605270200057
bcID : d14de6f6-405b-f111-ab09-6045bd1ca6db},
{receiptNo : V1088202605270100315
bcID : c84de6f6-405b-f111-ab09-6045bd1ca6db}</t>
  </si>
  <si>
    <r>
      <rPr>
        <b/>
        <sz val="11"/>
        <color rgb="FF000000"/>
        <rFont val="Aptos Narrow"/>
        <scheme val="minor"/>
      </rPr>
      <t>DC-607</t>
    </r>
    <r>
      <rPr>
        <sz val="11"/>
        <color rgb="FF000000"/>
        <rFont val="Aptos Narrow"/>
        <scheme val="minor"/>
      </rPr>
      <t xml:space="preserve"> Уулзалт товлох тухай</t>
    </r>
  </si>
  <si>
    <t>Ariunbold
Өнөөдөр боломжгүй. Маргааш үдээс хойш 3 цагт боломжтой</t>
  </si>
  <si>
    <t>Khulan 
June 2, 2026 at 4:38 PM
Мэдээлэл өгсөн тул тикетийг хааж байна. Шийдсэн Ариунболд June 2, 2026 at 1:46 PM</t>
  </si>
  <si>
    <r>
      <rPr>
        <b/>
        <sz val="11"/>
        <color rgb="FF000000"/>
        <rFont val="Aptos Narrow"/>
        <scheme val="minor"/>
      </rPr>
      <t>DC-608</t>
    </r>
    <r>
      <rPr>
        <sz val="11"/>
        <color rgb="FF000000"/>
        <rFont val="Aptos Narrow"/>
        <scheme val="minor"/>
      </rPr>
      <t xml:space="preserve"> Багана HIDE хийлгэх хүсэлт</t>
    </r>
  </si>
  <si>
    <r>
      <rPr>
        <b/>
        <sz val="11"/>
        <color rgb="FF000000"/>
        <rFont val="Aptos Narrow"/>
        <scheme val="minor"/>
      </rPr>
      <t>DC-609</t>
    </r>
    <r>
      <rPr>
        <sz val="11"/>
        <color rgb="FF000000"/>
        <rFont val="Aptos Narrow"/>
        <scheme val="minor"/>
      </rPr>
      <t xml:space="preserve"> LMS жобууд цагтаа ажиллахгүй байгаа</t>
    </r>
  </si>
  <si>
    <t>Sys admin LMS dev рүү шалгах хүсэлт өгсөн</t>
  </si>
  <si>
    <t xml:space="preserve">
Ariunbold 
Боломжгүй ээ. Энэ нь зөвхөн тохиргоо өөрчлөх ажил биш ба бид бүхэн код дээр өөрчлөлт оруулж, амжилттай болсон эсэхийг тест дээр эхлээд тестлэн үзэж амжилттай бол prod-руу оруулах ажил юм.</t>
  </si>
  <si>
    <t>IT-12 ; TFT-1</t>
  </si>
  <si>
    <r>
      <rPr>
        <b/>
        <sz val="11"/>
        <color rgb="FF000000"/>
        <rFont val="Aptos Narrow"/>
        <scheme val="minor"/>
      </rPr>
      <t xml:space="preserve">TFT-420 </t>
    </r>
    <r>
      <rPr>
        <sz val="11"/>
        <color rgb="FF000000"/>
        <rFont val="Aptos Narrow"/>
        <scheme val="minor"/>
      </rPr>
      <t>TFT #SMS&gt;Үлдэгдлийн удирдлага&gt; Үлдэгдлийн лавлагаа бараагаар, өдрөөр &gt; Устгасан тоо орж ирэхгүй байгаа</t>
    </r>
  </si>
  <si>
    <t xml:space="preserve">GSR-с хариу хүлээж байна </t>
  </si>
  <si>
    <t>Ariunbold 
GSR-с устгалыг үлдэгдэлд шууд нөлөөлүүлэхийг болиулна. Тиймээс энэхүү ажлыг хийх шаардлагагүй гэсэн хариу ирсэн байна. Энэ талаар GSR-тай ярьсан, DC дотооддоо ярьсан, гарсан шийдвэр байгаа юу? 
DC
Энэ талаар асууж тодрууллаа санхүү болон Park захирал яриад дээрх өөрчлөлтийг хийлгэж байгаа юм байна мэдээлэл өгсөн төлөвт оруулж хаахад санал нэг.
Тикетийг хааж байна. Шийдсэн Ариунболд June 3, 2026 at 11:12 AM</t>
  </si>
  <si>
    <r>
      <rPr>
        <b/>
        <sz val="11"/>
        <color rgb="FF000000"/>
        <rFont val="Aptos Narrow"/>
        <scheme val="minor"/>
      </rPr>
      <t xml:space="preserve">DC-611 </t>
    </r>
    <r>
      <rPr>
        <sz val="11"/>
        <color rgb="FF000000"/>
        <rFont val="Aptos Narrow"/>
        <scheme val="minor"/>
      </rPr>
      <t>Sales price update error</t>
    </r>
  </si>
  <si>
    <t>Khuslen
BC deer hadgalj bga baraanii ID ni olon baraan deer adilhan hadgalagdaj bga asuudal garaad bga. Uuniig manaih bolon BC taluud yagaad davhardaad bgag sudalhaar bga. ('8809782280318','8809116170452') odoo amijiltai ilgeegdsen shalgana uu. Mun ene ni BC taliin asuudal tul ticketiin turliig busad bolgon uurchilun haaj bna. Шийдсэн Хүслэн June 3, 2026 at 2:12 PM</t>
  </si>
  <si>
    <r>
      <rPr>
        <b/>
        <sz val="11"/>
        <color rgb="FF000000"/>
        <rFont val="Aptos Narrow"/>
        <scheme val="minor"/>
      </rPr>
      <t>DC-612</t>
    </r>
    <r>
      <rPr>
        <sz val="11"/>
        <color rgb="FF000000"/>
        <rFont val="Aptos Narrow"/>
        <scheme val="minor"/>
      </rPr>
      <t xml:space="preserve">  LMS-campaign -тайлан буруу татагдаж байгаа</t>
    </r>
  </si>
  <si>
    <t xml:space="preserve">LMS team рүү шалгах хүсэлт өгсөн </t>
  </si>
  <si>
    <r>
      <rPr>
        <b/>
        <sz val="11"/>
        <color rgb="FF000000"/>
        <rFont val="Aptos Narrow"/>
        <scheme val="minor"/>
      </rPr>
      <t xml:space="preserve">DC-613 </t>
    </r>
    <r>
      <rPr>
        <sz val="11"/>
        <color rgb="FF000000"/>
        <rFont val="Aptos Narrow"/>
        <scheme val="minor"/>
      </rPr>
      <t>BC shipment duplication шийдүүлэх</t>
    </r>
  </si>
  <si>
    <t xml:space="preserve">Сайжруулалт- Medium </t>
  </si>
  <si>
    <t>Nandintsetseg 
BC -gees hezee shipment POST hiih udriin etssiin hugatsaag heleed uguuch. Ter hugatsaanii daraa uurchlultiig oruuliy. Uurchlultiig oruulsnii daraa medegdehed BC -ees POST hiij test hiih bolomjtoi esehiig heleed uguurei. Bayrlalaa.</t>
  </si>
  <si>
    <t>IT-16; TFT-1</t>
  </si>
  <si>
    <r>
      <rPr>
        <b/>
        <sz val="11"/>
        <color rgb="FF000000"/>
        <rFont val="Aptos Narrow"/>
        <scheme val="minor"/>
      </rPr>
      <t>DC-614</t>
    </r>
    <r>
      <rPr>
        <sz val="11"/>
        <color rgb="FF000000"/>
        <rFont val="Aptos Narrow"/>
        <scheme val="minor"/>
      </rPr>
      <t xml:space="preserve"> Бэлэн мөнгө тушаалт цонход 6сарын мэдээлэл орж ирээгүй</t>
    </r>
  </si>
  <si>
    <t>Khulan 
Бэлэн мөнгө тушаах цонхны EAI batch нь өдөр бүр өдрийн 13 болон шөнийн 03 цагт ажилладаг юм байна. Ямар нэгэн сетллэмэнттэй холбоотой үйлдэл процесс хийгдээгүйгээс үүдэн зөвхөн энэ салбарын batch ажиллаагүй юм шиг байна. Өнөөдөр 13;00 цагт batch ажиллан борлуулалтын мэдээлэл ороод ирсэн байна шалгана уу. Харин кассын гүйлгээний лавлагаа цонхны мэдээлэл маргааш орж ирэх тул маргааш шалгана уу. Тикетийг хааж байна. Шийдсэн Түвшинжаргал June 4, 2026 at 2:46 PM</t>
  </si>
  <si>
    <r>
      <rPr>
        <b/>
        <sz val="11"/>
        <color rgb="FF000000"/>
        <rFont val="Aptos Narrow"/>
        <scheme val="minor"/>
      </rPr>
      <t>DC-615</t>
    </r>
    <r>
      <rPr>
        <sz val="11"/>
        <color rgb="FF000000"/>
        <rFont val="Aptos Narrow"/>
        <scheme val="minor"/>
      </rPr>
      <t xml:space="preserve"> V1190 - HQS системд тооллого орж ирээгүй</t>
    </r>
  </si>
  <si>
    <t xml:space="preserve">Доголдол- High </t>
  </si>
  <si>
    <r>
      <rPr>
        <b/>
        <sz val="11"/>
        <color rgb="FF000000"/>
        <rFont val="Aptos Narrow"/>
        <scheme val="minor"/>
      </rPr>
      <t>DC-616</t>
    </r>
    <r>
      <rPr>
        <sz val="11"/>
        <color rgb="FF000000"/>
        <rFont val="Aptos Narrow"/>
        <scheme val="minor"/>
      </rPr>
      <t xml:space="preserve"> Борлуулалтын мэдээ зөрсөн тухай</t>
    </r>
  </si>
  <si>
    <r>
      <rPr>
        <b/>
        <sz val="11"/>
        <color rgb="FF000000"/>
        <rFont val="Aptos Narrow"/>
        <scheme val="minor"/>
      </rPr>
      <t>DC-617</t>
    </r>
    <r>
      <rPr>
        <sz val="11"/>
        <color rgb="FF000000"/>
        <rFont val="Aptos Narrow"/>
        <scheme val="minor"/>
      </rPr>
      <t xml:space="preserve"> 06.03 болон 06.04ны өдрийн V9101 агуулхын захиалга BC рүү очоогүй</t>
    </r>
  </si>
  <si>
    <r>
      <rPr>
        <b/>
        <sz val="11"/>
        <color rgb="FF000000"/>
        <rFont val="Aptos Narrow"/>
        <scheme val="minor"/>
      </rPr>
      <t xml:space="preserve">DC-618 </t>
    </r>
    <r>
      <rPr>
        <sz val="11"/>
        <color rgb="FF000000"/>
        <rFont val="Aptos Narrow"/>
        <scheme val="minor"/>
      </rPr>
      <t>V9101 агуулах руу хийсэн салбарын захиалгыг бүгдийн баазаас татуулах</t>
    </r>
  </si>
  <si>
    <t>Nandintsetseg 
Tuhain Aguulah-iin hun ruu ni mail-eer ilgeechihsen.</t>
  </si>
  <si>
    <t xml:space="preserve">
Khulan 
GSR-с доорх хариу ирсэн байна. Inbound date өөрчлөх, өөрчилсний дараах save процесс удаашрах эсвэл алдаа гарах үед хэрэглэгч дахин Save товч дарснаар тухайн дата өөрчлөгдсөн огноогоор буруу хадгалагдаж байна.
Иймээс та бүхэн дараа ийм асуудал дахин үүсвэл салбараас оруулалгүй манайд мэдэгдэн шинэ тикет үүсгэн шалгуулна уу.</t>
  </si>
  <si>
    <t>bolderdene
LMS customer сервер дээр /root/check_cron.sh гэсэн script байгаа. энэ script файлыг ажиллуулаад сүүлийн cron -ууд ажилласан эсэхийг шалгах боломжтой. мөн script файлыг нээгээд дотроос нь cron тус бүрийн шалгах комманд харах боломжтой. доорх зурган дээр бичсэн команд нь том жижиг үсгийн зөрүү гарснаас болоод үр дүн нь хоосон гарсан  байх магадлалтай харагдаж байна.</t>
  </si>
  <si>
    <t>IT-17; TFT-0</t>
  </si>
  <si>
    <t>tuvshinjargal
Системийн үндсэн функцуудыг шалгаж үзэхэд серверийн ажиллагаа хэвийн, ямар нэгэн системийн доголдол үүсээгүй байна. Тухайн үед салбараас дата илгээх үед сүлжээний ачаалал эсвэл дата баазын синхрончлолын түр зуурын хоцрогдлоос (data sync delay) шалтгаалж 1871SKU харагдсан байх магадлалтай байна. Бид 11:55-д дахин таталт хийж, HQ рүү 2815 SKU барааны үлдэгдлийг амжилттай илгээж баталгаажуулсан. HQS болон SMS тал дээрээс дахин баталгаажуулж шалгахад тоо тэнцэж байна.</t>
  </si>
  <si>
    <t>tuvshinjargal
Системийн үндсэн функцуудыг шалгаж үзэхэд серверийн ажиллагаа хэвийн, ямар нэгэн системийн доголдол үүсээгүй байна. Тухайн үед салбараас дата илгээх үед сүлжээний ачаалал эсвэл дата баазын синхрончлолын түр зуурын хоцрогдлоос (data sync delay) шалтгаалж 1871SKU харагдсан байх магадлалтай байна. Бид 11:55-д дахин таталт хийж, HQ рүү 2815 SKU барааны үлдэгдлийг амжилттай илгээж баталгаажуулсан. HQS болон SMS тал дээрээс дахин баталгаажуулж шалгахад тоо тэнцэж байна. Тооллогын мэдээлэл SMS HQ системүүд дээр амжилттай орж ирсэн тул тикетийг хааж байна. Шийдсэн Нандинцэцэг Түвшинжаргал June 5, 2026 at 11:11 AM</t>
  </si>
  <si>
    <t>Nandintsetseg
Tuhain Aguulah-iin hun ruu ni mail-eer ilgeechihsen tul ticketiig haaj baina</t>
  </si>
  <si>
    <r>
      <rPr>
        <b/>
        <sz val="11"/>
        <color rgb="FF000000"/>
        <rFont val="Aptos Narrow"/>
        <scheme val="minor"/>
      </rPr>
      <t>DC-488</t>
    </r>
    <r>
      <rPr>
        <sz val="11"/>
        <color rgb="FF000000"/>
        <rFont val="Aptos Narrow"/>
        <scheme val="minor"/>
      </rPr>
      <t xml:space="preserve"> TFT #A7 Fixed an issue where the purchase date was incorrectly saved during SMS inbound processing</t>
    </r>
  </si>
  <si>
    <t>o tip: press 
M
 to comment
uyanga 
June 5, 2026 at 3:30 PM
Khulan 
Энэ тикетийн асуудал DC-576: Захиалга хийгээгүй бараа нь дээр орлого үүссэн /9004 агуулах/
Open
 DC-557: Орлого давхардаж үүссэн тул шалгуулах
Open
 тикетүүдтэй адил асуудал үүссэн байна. GSR-с ирсэн доорх хариутай танилцана уу.
GSR-с доорх хариу ирсэн байна. Inbound date өөрчлөх, өөрчилсний дараах save процесс удаашрах эсвэл алдаа гарах үед хэрэглэгч дахин Save товч дарснаар тухайн дата өөрчлөгдсөн огноогоор буруу хадгалагдаж байна.
Иймээс та бүхэн дараа ийм асуудал дахин үүсвэл салбараас оруулалгүй манайд мэдэгдэн шинэ тикет үүсгэн шалгуулна уу. Тикетийг хааж байна..</t>
  </si>
  <si>
    <t>Nandintsetseg Odbaatar June 4, 2026 at 7:35 
BC-gees dahin ilgeeh huselt iren dahin amjilttai ilgeegdsen.</t>
  </si>
  <si>
    <t>Nandintsetseg
Suuliin 3 salbariin Zahialga ni dandaa 10 ungruud hiigdsen baina. Tiim bolhoor batchuud-iinh ni tsag ni ungursun uchir tsaashaa yvaagui baina. 
Nandintsetseg Odbaatar June 4, 2026 at 7:35
BC-gees dahin ilgeeh huselt iren dahin amjilttai ilgeegdsen. Ticketiig haaj baina. Шийдсэн Нандинцэцэг June 4, 2026 at 7:35</t>
  </si>
  <si>
    <r>
      <rPr>
        <b/>
        <sz val="11"/>
        <color rgb="FF000000"/>
        <rFont val="Aptos Narrow"/>
        <scheme val="minor"/>
      </rPr>
      <t>DC-623</t>
    </r>
    <r>
      <rPr>
        <sz val="11"/>
        <color rgb="FF000000"/>
        <rFont val="Aptos Narrow"/>
        <scheme val="minor"/>
      </rPr>
      <t xml:space="preserve"> Test HQ дээр нэмсэн шинэ бүс барааны төлөв сольход бүсчлэл сонгоогүй байна гэх алдаа гарч байна</t>
    </r>
  </si>
  <si>
    <r>
      <rPr>
        <b/>
        <sz val="11"/>
        <color rgb="FF000000"/>
        <rFont val="Aptos Narrow"/>
        <scheme val="minor"/>
      </rPr>
      <t>DC-624</t>
    </r>
    <r>
      <rPr>
        <sz val="11"/>
        <color rgb="FF000000"/>
        <rFont val="Aptos Narrow"/>
        <scheme val="minor"/>
      </rPr>
      <t xml:space="preserve"> Shipment хувааж post хийсэн асуудлыг шийдвэрлүүлэх</t>
    </r>
  </si>
  <si>
    <t xml:space="preserve">Дараах төлбөрт- high </t>
  </si>
  <si>
    <r>
      <rPr>
        <b/>
        <sz val="11"/>
        <color rgb="FF000000"/>
        <rFont val="Aptos Narrow"/>
        <scheme val="minor"/>
      </rPr>
      <t xml:space="preserve">DC-625 </t>
    </r>
    <r>
      <rPr>
        <sz val="11"/>
        <color rgb="FF000000"/>
        <rFont val="Aptos Narrow"/>
        <scheme val="minor"/>
      </rPr>
      <t>195 SKU-ны Устгалын чекийг Yes болгуулах</t>
    </r>
  </si>
  <si>
    <r>
      <rPr>
        <b/>
        <sz val="11"/>
        <color rgb="FF000000"/>
        <rFont val="Aptos Narrow"/>
        <scheme val="minor"/>
      </rPr>
      <t>DC-626</t>
    </r>
    <r>
      <rPr>
        <sz val="11"/>
        <color rgb="FF000000"/>
        <rFont val="Aptos Narrow"/>
        <scheme val="minor"/>
      </rPr>
      <t xml:space="preserve"> FRA 6/1-6/4 хүртэл 31 баримт BC рүү илгээгдээгүй</t>
    </r>
  </si>
  <si>
    <t>Khuslen Ichinkhorloo June 7
xlsx fild-d bgagas  {V5030, V5030202606010100171},  {V5323, V5323202606010200292} ene 2 l aldaa garsan bn. busad ni yvsan bn
tuhain 2 salbar deer doorh aldaa ugsun bn. dahin ilgeeh tuluvt oruulaad ilgeegdsen.
V5030:
The server stopped the session (ID: 1568991) because of a stop session request.  CorrelationId:  c5e949f8-3b22-430a-80ad-6f6662690bc6.
V5323:
The operation has been canceled because the session has been stopped. Please retry later.  CorrelationId:  dd9c0c5f-39ce-4934-86c7-980fb4fe8118.</t>
  </si>
  <si>
    <t xml:space="preserve">tuvshinjargal
Тус өдөр POS 2 settlement-ээ хийгээгүй алгассан байна шүү. DEAL_SP_CD = 21 гэдэг нь Settlement гэсэн үг. </t>
  </si>
  <si>
    <t>IT-14</t>
  </si>
  <si>
    <t>Ariunbold 
Эрсдэл багатай замаар бол зөвхөн тухайн салбаруудад өөрчлөлт оруулахаар бол зөвхөн тухайн салбаруудын датаг оруулах шинэ код бичиж, тестлэж оруулах боломжтой ба тухайн ажлыг хийхэд бүтэн 1 ажлын өдөр буюу 8 хүн цагт хийхээр байна.
Nandintsetseg Odbaatar June 4, 2026 at 8:30
Оройн мэнд тухайн асуудлыг зассан тул тикетийг хааж байна. Шийдсэн Нандинцэцэг June 4, 2026 at 8:30</t>
  </si>
  <si>
    <t>Khulan 
GSR-с доорх хариу ирсэн байна. Inbound date өөрчлөх, өөрчилсний дараах save процесс удаашрах эсвэл алдаа гарах үед хэрэглэгч дахин Save товч дарснаар тухайн дата өөрчлөгдсөн огноогоор буруу хадгалагдаж байна.
Иймээс та бүхэн дараа ийм асуудал дахин үүсвэл салбараас оруулалгүй манайд мэдэгдэн шинэ тикет үүсгэн шалгуулна уу. Уг тикетийг хааж байна Шийдсэн Нандинцэцэг June 3, 2026 at 11:16 AM</t>
  </si>
  <si>
    <t xml:space="preserve">Khulan 
June 8, 2026 at 9:46 AM
Тус тикет DC-623: Test HQ дээр нэмсэн шинэ бүс барааны төлөв сольход бүсчлэл сонгоогүй байна гэх алдаа гарч байна
Open
 тикеттэй давхардсан тул нэг тикетээр асуудалыг шийдэхээр 2 тал тохиролцлоо. Тиймээс уг тикетийг хааж байна. </t>
  </si>
  <si>
    <t>Khulan 
GSR-с доорх хариу ирсэн байна. Inbound date өөрчлөх, өөрчилсний дараах save процесс удаашрах эсвэл алдаа гарах үед хэрэглэгч дахин Save товч дарснаар тухайн дата өөрчлөгдсөн огноогоор буруу хадгалагдаж байна.
Иймээс та бүхэн дараа ийм асуудал дахин үүсвэл салбараас оруулалгүй манайд мэдэгдэн шинэ тикет үүсгэн шалгуулна уу. Уг тикетийг хааж байна Шийдсэн Нандинцэцэг June 3, 2026 at 11:16 AM</t>
  </si>
  <si>
    <t>Ariunbold June 3, 2026 at 10:34 AM
V1290 салбар 9цагаас өмнө 2бараан дээр  захиалга хийсэн.- Энэ хэдний өдрөөр ямар бараанууд дээр хийсэн бэ?  - 6/3ны захиалга дээр 08:57 минутын үед захиалга дээр оруулсан.
6/4-ний өдөрлүү шилжиж байгааг засварласан. 9 цагт захиалга хаагдаад дараа өдөртөө шилждэг тусдаа тохиргоо байдгыг мөн 10 цагт дараа өдөртөө шилждэг болгон өөрчлөлт хийсэн. Тикетийг хааж байна. Шийдсэн Нандинцэцэг June 5, 2026 at 10:47 AM</t>
  </si>
  <si>
    <t>Khulan 
June 8, 2026 at 12:00 PM
Багана амжилттай HIDE хийгдсэн тул тикетийг хааж байна. Шийдсэн Хүслэн June 8, 2026 at 9:18 AM</t>
  </si>
  <si>
    <t>Khulan 
June 8, 2026 at 5:02 PM
195 барааны устгалын чекийг YES болгосон тул тикетийг хааж байна. Шийдсэн Түвшинжаргал June 8, 2026 at 1:57 PM</t>
  </si>
  <si>
    <t xml:space="preserve">Бүгд амжилттай илгээгдсэн тул тикетийг хааж байна. Шийдсэн Хүслэн June 8, 2026 at 9:22 AM </t>
  </si>
  <si>
    <r>
      <rPr>
        <b/>
        <sz val="11"/>
        <color rgb="FF000000"/>
        <rFont val="Aptos Narrow"/>
        <scheme val="minor"/>
      </rPr>
      <t>DC-633</t>
    </r>
    <r>
      <rPr>
        <sz val="11"/>
        <color rgb="FF000000"/>
        <rFont val="Aptos Narrow"/>
        <scheme val="minor"/>
      </rPr>
      <t xml:space="preserve"> BC, салбар хоорондын хөдөлгөөн илгээх тухай</t>
    </r>
  </si>
  <si>
    <t>GS25 App</t>
  </si>
  <si>
    <r>
      <rPr>
        <b/>
        <sz val="11"/>
        <color rgb="FF000000"/>
        <rFont val="Aptos Narrow"/>
        <scheme val="minor"/>
      </rPr>
      <t>DC-636 х</t>
    </r>
    <r>
      <rPr>
        <sz val="11"/>
        <color rgb="FF000000"/>
        <rFont val="Aptos Narrow"/>
        <scheme val="minor"/>
      </rPr>
      <t>эрэглэгчийн gs25 app дээр оноо нэмэгдэхгүй байгаа харагдаж байна.</t>
    </r>
  </si>
  <si>
    <r>
      <rPr>
        <b/>
        <sz val="11"/>
        <color rgb="FF000000"/>
        <rFont val="Aptos Narrow"/>
        <scheme val="minor"/>
      </rPr>
      <t xml:space="preserve">DC-635 </t>
    </r>
    <r>
      <rPr>
        <sz val="11"/>
        <color rgb="FF000000"/>
        <rFont val="Aptos Narrow"/>
        <scheme val="minor"/>
      </rPr>
      <t>87 эхэлсэн дугаартай хэрэглэгчидэд OTP код ирэхгүй байгаа</t>
    </r>
  </si>
  <si>
    <r>
      <rPr>
        <b/>
        <sz val="11"/>
        <color rgb="FF000000"/>
        <rFont val="Aptos Narrow"/>
        <scheme val="minor"/>
      </rPr>
      <t xml:space="preserve">DC-637 </t>
    </r>
    <r>
      <rPr>
        <sz val="11"/>
        <color rgb="FF000000"/>
        <rFont val="Aptos Narrow"/>
        <scheme val="minor"/>
      </rPr>
      <t>V5057 салбарын Огноогоор орлого зарлагын бүртгэл цонх дээр 2026.05 сарын дата гарч ирэхгүй байгаа</t>
    </r>
  </si>
  <si>
    <r>
      <rPr>
        <b/>
        <sz val="11"/>
        <color rgb="FF000000"/>
        <rFont val="Aptos Narrow"/>
        <scheme val="minor"/>
      </rPr>
      <t>DC-638</t>
    </r>
    <r>
      <rPr>
        <sz val="11"/>
        <color rgb="FF000000"/>
        <rFont val="Aptos Narrow"/>
        <scheme val="minor"/>
      </rPr>
      <t xml:space="preserve"> Шинэ салбар үүсгэсний дараа барааны мастер дээр салбарт байршуулах эсэхийг нэг бүрчлэн чек хийдэг үүнийг select all хийдэг болгох</t>
    </r>
  </si>
  <si>
    <t>IT-15</t>
  </si>
  <si>
    <r>
      <rPr>
        <b/>
        <sz val="11"/>
        <color rgb="FF000000"/>
        <rFont val="Aptos Narrow"/>
        <scheme val="minor"/>
      </rPr>
      <t xml:space="preserve">DC-639 </t>
    </r>
    <r>
      <rPr>
        <sz val="11"/>
        <color rgb="FF000000"/>
        <rFont val="Aptos Narrow"/>
        <scheme val="minor"/>
      </rPr>
      <t>Мэдээлэл авах - Тооллого</t>
    </r>
  </si>
  <si>
    <t xml:space="preserve">Мэдээлэл өгсөн-Medium </t>
  </si>
  <si>
    <t>Nandintsetseg
17 цагаас үлдэгдэл бодогдоход өмнөх өдрийнхөө үлдэгдэлийг боддог. Тэгхээр дараа өдрийн 17 цагт бодогддог гэсэн үг. Мэдээлэл өгсөн тул тикетийг хаах саналтай байна.</t>
  </si>
  <si>
    <t xml:space="preserve">Nandintsetseg
17 цагаас үлдэгдэл бодогдоход өмнөх өдрийнхөө үлдэгдэлийг боддог. Тэгэхээр дараа өдрийн 17 цагт бодогддог гэсэн үг. Мэдээлэл өгсөн тул тикетийг хааж байна. </t>
  </si>
  <si>
    <r>
      <rPr>
        <b/>
        <sz val="11"/>
        <color rgb="FF000000"/>
        <rFont val="Aptos Narrow"/>
        <scheme val="minor"/>
      </rPr>
      <t>DC-642</t>
    </r>
    <r>
      <rPr>
        <sz val="11"/>
        <color rgb="FF000000"/>
        <rFont val="Aptos Narrow"/>
        <scheme val="minor"/>
      </rPr>
      <t xml:space="preserve"> gs25 dashboard болон gs25 app хандаж болохгүй байна</t>
    </r>
  </si>
  <si>
    <t>Хоёр тал Maintaince гэрээний харилцаагүй манайх танай сервер рүү хандах боломжгүй байдаг тул дотооддоо шалгана уу. Мөн тикетийн төрлийг мэдээлэл өгсөн болгон өөрчиллөө. Тикетийг хааж байна. Шийдсэн Хулан June 9, 2026 at 4:04 PM</t>
  </si>
  <si>
    <r>
      <rPr>
        <b/>
        <sz val="11"/>
        <color rgb="FF000000"/>
        <rFont val="Aptos Narrow"/>
        <scheme val="minor"/>
      </rPr>
      <t>DC-641</t>
    </r>
    <r>
      <rPr>
        <sz val="11"/>
        <color rgb="FF000000"/>
        <rFont val="Aptos Narrow"/>
        <scheme val="minor"/>
      </rPr>
      <t xml:space="preserve"> Мастер дата</t>
    </r>
  </si>
  <si>
    <t xml:space="preserve">Khulan 
Тус ажлыг гүйцэтгэхэд  30минут болох ба өнөөдөр 17;00 цагаас хийж гүйцэтгэхээр байна. </t>
  </si>
  <si>
    <t xml:space="preserve">Khuslen Болсон шалгаж үзнэ үү. </t>
  </si>
  <si>
    <t xml:space="preserve">DC талаас deploy оруулах цаг хүлээж байна </t>
  </si>
  <si>
    <t>IT-11</t>
  </si>
  <si>
    <t>Tuvshinjargal June 9 2026 at 5:39 PM
Batch амжилттай ажиллан борлуулалтын мэдээ хамааралтай цонхнуудад орж ирсэн. Харин ZT талаас уг асуудал кассын ажилтан сеттлэмэнт хийх цагтаа хийгээгүйгээс үүссэн асуудал гэж тодорхойлсон ч DC талаас хүлээн зөвшөөрөөгүй тул тикетийг доголдолоор хаалаа. Дараа дахин ийм кэйс тикет үүсвэл 2 тал доголдол эсэхийг нягт шалгаж шийдэхээр тохиролцон тикетийг хаалаа. Шийдсэн Түвшинжаргал. June 9 2026 at 5:39 PM</t>
  </si>
  <si>
    <t>Performance асуудал байсанг кодны хэмжээнд шалган засаж дууслаа. Тайлан амжилттай бүрэн татагдсан тул тикетийг хааж байна. Шийдсэн Энхтүвшин June 9, 2026 at 10:44 PM</t>
  </si>
  <si>
    <t>Салбар хоорондын хөдөлгөөн амжилттай илгээгдсэн тул тикетийг хааж байна. Шийдсэн Нандинцэцэг June 10, 2026 at 11:16 AM</t>
  </si>
  <si>
    <t>EAI нь ажиллаагүй байсан байна. Дахин ажилуулан дата орж ирсэн тул тикетийг хааж байна. Шийдсэн Хүслэн June 9, 2026 at 5:52 PM</t>
  </si>
  <si>
    <t>Гэмтэлтэй төрөл нэмсэн тул тикетийг хааж байна.Шийдсэн Нандинцэцэг June 9, 2026 at 5:55 PM</t>
  </si>
  <si>
    <r>
      <rPr>
        <b/>
        <sz val="11"/>
        <color rgb="FF000000"/>
        <rFont val="Aptos Narrow"/>
        <scheme val="minor"/>
      </rPr>
      <t xml:space="preserve">DC-646 </t>
    </r>
    <r>
      <rPr>
        <sz val="11"/>
        <color rgb="FF000000"/>
        <rFont val="Aptos Narrow"/>
        <scheme val="minor"/>
      </rPr>
      <t>Deploy хийсэн ч change орж ирээгүй</t>
    </r>
  </si>
  <si>
    <t>IT-10</t>
  </si>
  <si>
    <t>Nandintsetseg
Өмнө нь хэлсэнээр LMS урамшуулалтай үед GP дээрх үлдэгдэлийг бодуулах тохиргоо хийгдээгүй. GP дээр ПОС-оос энэ нь LMS-н урамшуулал гэж ялгагдах юм хийгээгүй. Үүнээс тэр үед хөгжүүлэлт хийх явцад LMS урамшуулал илгээх үед GP дээр урамшуулал байхгүй үед GP -рүү хоосон утга дамжуулж байсныг,хоосон утга байвал LMS урамшуулал гэж бүртгэгдэхээр хийсэн юм байна. Тэгэнгүүт энэ ус экос бараан дээр GP дээр урамшуулал үүсгэчихсэн байгаа. Тэгэнгүүт тэр урамшууллаа энэ нь LMS-н урамшуулал гэж ялгаж илгээлгүй GP дээр үүсгэсэн урамшууллаар нь илгээсэн учираас үлдлэгдэлд нөлөөлөхгүй байгаа юм байна. GP дээр үүсгэсэн урамшуулал нь discount урамшуулал учир үлдэгдэлд нөлөөлөөгүй.
Khulan
Тиймээс та бүхэн дотооддоо ярилцан тус асуудал дээр хөгжүүлэлт хийлгэх эсэх дээр шинэ тикетээр хариу өгнө үү. Мөн Гэрээ дууссан ч бид өмнөх гэрээний дагуу тикетүүдийг хүлээн авч шийдэж байгаа билээ.Манайхаас уг тикетийг мэдээлэл өгсөн төрлөөр хааж байна гэрээний 3.1 заалтын дагуу тус тикетийн асуудал анхны шаардлаганд байхгүй учраас Шийдсэн Нандинцэцэг June 9, 2026 at 5:22 PM</t>
  </si>
  <si>
    <t>Nandintsetseg Odbaatar June 10, 2026 at 5:54
V5094 uldegdel boduulsan DC talaas amjilttai nuluulsung medeellese. V6164 unuudur uldegdel bodogdson shalgaj bolno. BC hurgeltiin company tus bureer avdag saijruulalt hiigdeh heregtei baigaa. Бүгд амжилттай илгээгдсэн тул тикетийг хааж байна. Шийдсэн Нандинцэцэг June 10, 2026 at 5:54</t>
  </si>
  <si>
    <r>
      <rPr>
        <b/>
        <sz val="11"/>
        <color rgb="FF000000"/>
        <rFont val="Aptos Narrow"/>
        <scheme val="minor"/>
      </rPr>
      <t xml:space="preserve">DC-648 </t>
    </r>
    <r>
      <rPr>
        <sz val="11"/>
        <color rgb="FF000000"/>
        <rFont val="Aptos Narrow"/>
        <scheme val="minor"/>
      </rPr>
      <t>Эрх нэмүүлэлх тухай</t>
    </r>
  </si>
  <si>
    <t xml:space="preserve">
Khulan 
Утасны дугааргүйгээр тохируулж болсон тул тикетийг хааж байна. DC-с өөрсдөө эрхийн тохиргоо хийсэн.</t>
  </si>
  <si>
    <r>
      <rPr>
        <b/>
        <sz val="11"/>
        <color rgb="FF000000"/>
        <rFont val="Aptos Narrow"/>
        <scheme val="minor"/>
      </rPr>
      <t>DC-650</t>
    </r>
    <r>
      <rPr>
        <sz val="11"/>
        <color rgb="FF000000"/>
        <rFont val="Aptos Narrow"/>
        <scheme val="minor"/>
      </rPr>
      <t xml:space="preserve"> 6/1 -ны 1билл 6/8-ны 2 билл баримт BC рүү илгээгдээгүй</t>
    </r>
  </si>
  <si>
    <t>IT-6</t>
  </si>
  <si>
    <t>Phone regex нэмсэн асуудал засагдсан тул тикетийг хааж байна. Шийдсэн Энхтүвшин June 12, 2026 at 10:09 AM</t>
  </si>
  <si>
    <t>Enkhtuvshin
Энэ backend update орсон ч Frontend-ийн update ороогүй байсан. 6/11 ний өдөр frontend, backend update хийсэн болсон тул тикетийг хааж байна. Шийдсэн Энхтүвшин June 12, 2026 at 11:19 AM</t>
  </si>
  <si>
    <t>Khuslen
BC-с доорх алдааг өгсөн байна. Дахин илгээх төлөвт оруулсан.
V1077202606080100084	V1077	"The operation could not be completed. Please try again later.You experienced intermittent database connectivity issues. This could have happened because we rebalanced your resources to provide you with a better experience. If the issue continues, please contact your system administrator.  CorrelationId:  f785475b-5085-44c9-b4b1-520f9188e84d."
V1101202606080200046	V1101	"The operation could not be completed. Please try again later.You experienced intermittent database connectivity issues. This could have happened because we rebalanced your resources to provide you with a better experience. If the issue continues, please contact your system administrator.  CorrelationId:  a3d27cca-aabd-497f-81fa-265b210efe03."
V1106202606010200185	V1106	The server stopped the session (ID: 1568990) because of a stop session request.  CorrelationId:  2486ac57-dbcb-4496-9040-37d664e3cdee.
Амжилттай илгээгдсэн тул тикетийг хааж байна. Шийдсэн Хүслэн June 12, 2026 at 10:08 AM</t>
  </si>
  <si>
    <t>Enkhtuvshin 
LMS-ийн kafka-тай холболт салсан тул reload хийх шаардлагатай болсон амжилттай reload хийсэн тул тикетийг хааж байна. Шийдсэн Энхтүвшин Эрдэнэтогтох June 11, 2026 at 10:33 PM</t>
  </si>
  <si>
    <t xml:space="preserve">Nandintsetseg
Тус ажлыг хийж гүйцэтгэхэд 8 цаг болох ба дараа төлбөрт төрлөөр хийхээр байна.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</si>
</sst>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20">
    <font>
      <sz val="11"/>
      <color theme="1"/>
      <name val="Aptos Narrow"/>
      <family val="2"/>
      <scheme val="minor"/>
    </font>
    <font>
      <b/>
      <sz val="11"/>
      <color theme="1"/>
      <name val="Aptos Narrow"/>
      <family val="2"/>
      <scheme val="minor"/>
    </font>
    <font>
      <sz val="11"/>
      <color theme="1"/>
      <name val="Aptos Narrow"/>
      <family val="2"/>
      <scheme val="minor"/>
    </font>
    <font>
      <b/>
      <sz val="12"/>
      <color theme="1"/>
      <name val="Aptos Narrow"/>
      <family val="2"/>
      <scheme val="minor"/>
    </font>
    <font>
      <sz val="10"/>
      <color theme="1"/>
      <name val="Aptos Narrow"/>
      <family val="2"/>
      <scheme val="minor"/>
    </font>
    <font>
      <b/>
      <sz val="11"/>
      <color rgb="FF00B050"/>
      <name val="Aptos Narrow"/>
      <family val="2"/>
      <scheme val="minor"/>
    </font>
    <font>
      <sz val="11"/>
      <color rgb="FF00B050"/>
      <name val="Aptos Narrow"/>
      <family val="2"/>
      <scheme val="minor"/>
    </font>
    <font>
      <sz val="11"/>
      <color rgb="FF292A2E"/>
      <name val="Segoe UI"/>
      <family val="2"/>
    </font>
    <font>
      <b/>
      <sz val="11"/>
      <color rgb="FF292A2E"/>
      <name val="Aptos Narrow"/>
      <family val="2"/>
      <scheme val="minor"/>
    </font>
    <font>
      <sz val="11"/>
      <color rgb="FF292A2E"/>
      <name val="Aptos Narrow"/>
      <family val="2"/>
      <scheme val="minor"/>
    </font>
    <font>
      <sz val="11"/>
      <color rgb="FF1868DB"/>
      <name val="Segoe UI"/>
      <family val="2"/>
    </font>
    <font>
      <sz val="8"/>
      <color rgb="FF292A2E"/>
      <name val="Segoe UI"/>
      <family val="2"/>
    </font>
    <font>
      <b/>
      <sz val="11"/>
      <color rgb="FF292A2E"/>
      <name val="Segoe UI"/>
      <family val="2"/>
    </font>
    <font>
      <b/>
      <sz val="11"/>
      <color rgb="FF292A2E"/>
      <name val="Atlassian Sans"/>
      <charset val="1"/>
    </font>
    <font>
      <b/>
      <sz val="11"/>
      <color rgb="FF000000"/>
      <name val="Aptos Narrow"/>
      <scheme val="minor"/>
    </font>
    <font>
      <sz val="11"/>
      <color rgb="FF000000"/>
      <name val="Aptos Narrow"/>
      <scheme val="minor"/>
    </font>
    <font>
      <sz val="10"/>
      <color rgb="FF000000"/>
      <name val="Aptos Narrow"/>
      <scheme val="minor"/>
    </font>
    <font>
      <b/>
      <sz val="11"/>
      <color rgb="FF000000"/>
      <name val="Calibri"/>
    </font>
    <font>
      <sz val="11"/>
      <color rgb="FF000000"/>
      <name val="Calibri"/>
    </font>
    <font>
      <sz val="11"/>
      <color rgb="FF000000"/>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3" tint="0.749992370372631"/>
        <bgColor indexed="64"/>
      </patternFill>
    </fill>
    <fill>
      <patternFill patternType="solid">
        <fgColor rgb="FF92D05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top/>
      <bottom style="thin">
        <color indexed="64"/>
      </bottom>
      <diagonal/>
    </border>
    <border>
      <left/>
      <right style="thin">
        <color rgb="FF000000"/>
      </right>
      <top style="thin">
        <color rgb="FF000000"/>
      </top>
      <bottom/>
      <diagonal/>
    </border>
    <border>
      <left/>
      <right style="thin">
        <color indexed="64"/>
      </right>
      <top style="thin">
        <color indexed="64"/>
      </top>
      <bottom/>
      <diagonal/>
    </border>
    <border>
      <left/>
      <right/>
      <top style="thin">
        <color indexed="64"/>
      </top>
      <bottom style="thin">
        <color indexed="64"/>
      </bottom>
      <diagonal/>
    </border>
    <border>
      <left/>
      <right style="thin">
        <color rgb="FF000000"/>
      </right>
      <top/>
      <bottom style="thin">
        <color rgb="FF000000"/>
      </bottom>
      <diagonal/>
    </border>
    <border>
      <left/>
      <right/>
      <top/>
      <bottom style="thin">
        <color indexed="64"/>
      </bottom>
      <diagonal/>
    </border>
  </borders>
  <cellStyleXfs count="2">
    <xf numFmtId="0" fontId="0" fillId="0" borderId="0"/>
    <xf numFmtId="43" fontId="2" fillId="0" borderId="0" applyFont="0" applyFill="0" applyBorder="0" applyAlignment="0" applyProtection="0"/>
  </cellStyleXfs>
  <cellXfs count="148">
    <xf numFmtId="0" fontId="0" fillId="0" borderId="0" xfId="0"/>
    <xf numFmtId="0" fontId="1" fillId="0" borderId="1" xfId="0" applyFont="1" applyBorder="1" applyAlignment="1">
      <alignment horizont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left" wrapText="1"/>
    </xf>
    <xf numFmtId="0" fontId="0" fillId="0" borderId="1" xfId="0" applyBorder="1" applyAlignment="1">
      <alignment vertical="top" wrapText="1"/>
    </xf>
    <xf numFmtId="0" fontId="0" fillId="0" borderId="4" xfId="0" applyBorder="1" applyAlignment="1">
      <alignment horizontal="center" vertical="center"/>
    </xf>
    <xf numFmtId="164" fontId="0" fillId="0" borderId="0" xfId="1" applyNumberFormat="1" applyFont="1"/>
    <xf numFmtId="0" fontId="0" fillId="0" borderId="0" xfId="0" applyAlignment="1">
      <alignment horizontal="right"/>
    </xf>
    <xf numFmtId="0" fontId="0" fillId="0" borderId="1" xfId="0" applyBorder="1"/>
    <xf numFmtId="0" fontId="1" fillId="0" borderId="0" xfId="0" applyFont="1" applyAlignment="1">
      <alignment horizontal="center"/>
    </xf>
    <xf numFmtId="0" fontId="1" fillId="2" borderId="1" xfId="0" applyFont="1" applyFill="1" applyBorder="1" applyAlignment="1">
      <alignment horizontal="center"/>
    </xf>
    <xf numFmtId="0" fontId="0" fillId="0" borderId="0" xfId="0" applyAlignment="1">
      <alignment horizontal="center"/>
    </xf>
    <xf numFmtId="0" fontId="0" fillId="0" borderId="1" xfId="0" applyBorder="1" applyAlignment="1">
      <alignment vertical="center" wrapText="1"/>
    </xf>
    <xf numFmtId="0" fontId="0" fillId="0" borderId="0" xfId="0" applyAlignment="1">
      <alignment vertical="center"/>
    </xf>
    <xf numFmtId="0" fontId="0" fillId="0" borderId="1" xfId="0" applyBorder="1" applyAlignment="1">
      <alignment vertical="center"/>
    </xf>
    <xf numFmtId="0" fontId="0" fillId="0" borderId="0" xfId="0" applyAlignment="1">
      <alignment horizontal="center" vertical="center"/>
    </xf>
    <xf numFmtId="0" fontId="3" fillId="3"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5" xfId="0" applyBorder="1" applyAlignment="1">
      <alignment vertical="center" wrapText="1"/>
    </xf>
    <xf numFmtId="0" fontId="3" fillId="4" borderId="1" xfId="0" applyFont="1" applyFill="1" applyBorder="1" applyAlignment="1">
      <alignment horizontal="center" vertical="center"/>
    </xf>
    <xf numFmtId="16" fontId="0" fillId="0" borderId="0" xfId="0" applyNumberFormat="1"/>
    <xf numFmtId="0" fontId="1" fillId="0" borderId="1" xfId="0" applyFont="1" applyBorder="1" applyAlignment="1">
      <alignment horizontal="center" vertical="center"/>
    </xf>
    <xf numFmtId="0" fontId="0" fillId="0" borderId="6" xfId="0" applyBorder="1" applyAlignment="1">
      <alignment vertical="center" wrapText="1"/>
    </xf>
    <xf numFmtId="0" fontId="0" fillId="0" borderId="1" xfId="0" applyBorder="1" applyAlignment="1">
      <alignment horizontal="center"/>
    </xf>
    <xf numFmtId="0" fontId="1" fillId="0" borderId="4" xfId="0" applyFont="1" applyBorder="1" applyAlignment="1">
      <alignment horizontal="center" vertical="center"/>
    </xf>
    <xf numFmtId="0" fontId="0" fillId="0" borderId="1" xfId="0" applyBorder="1" applyAlignment="1">
      <alignment horizontal="center" wrapText="1"/>
    </xf>
    <xf numFmtId="0" fontId="1" fillId="0" borderId="2" xfId="0" applyFont="1" applyBorder="1" applyAlignment="1">
      <alignment horizontal="center" vertical="center"/>
    </xf>
    <xf numFmtId="43" fontId="0" fillId="0" borderId="0" xfId="1" applyFont="1"/>
    <xf numFmtId="0" fontId="0" fillId="0" borderId="7" xfId="0" applyBorder="1" applyAlignment="1">
      <alignment vertical="center" wrapText="1"/>
    </xf>
    <xf numFmtId="0" fontId="0" fillId="0" borderId="5" xfId="0" applyBorder="1" applyAlignment="1">
      <alignment horizontal="center" vertical="center" wrapText="1"/>
    </xf>
    <xf numFmtId="0" fontId="3" fillId="3" borderId="2" xfId="0" applyFont="1" applyFill="1" applyBorder="1" applyAlignment="1">
      <alignment horizontal="center" vertical="center"/>
    </xf>
    <xf numFmtId="0" fontId="3" fillId="3" borderId="2" xfId="0" applyFont="1" applyFill="1" applyBorder="1" applyAlignment="1">
      <alignment horizontal="center" vertical="center" wrapText="1"/>
    </xf>
    <xf numFmtId="0" fontId="0" fillId="0" borderId="7" xfId="0" applyBorder="1"/>
    <xf numFmtId="0" fontId="0" fillId="0" borderId="8" xfId="0" applyBorder="1" applyAlignment="1">
      <alignment horizontal="center" vertical="center" wrapText="1"/>
    </xf>
    <xf numFmtId="0" fontId="0" fillId="0" borderId="2" xfId="0" applyBorder="1"/>
    <xf numFmtId="0" fontId="15" fillId="0" borderId="1" xfId="0" applyFont="1" applyBorder="1" applyAlignment="1">
      <alignment horizontal="center" vertical="center" wrapText="1"/>
    </xf>
    <xf numFmtId="43" fontId="0" fillId="0" borderId="0" xfId="0" applyNumberFormat="1"/>
    <xf numFmtId="0" fontId="15" fillId="0" borderId="7" xfId="0" applyFont="1" applyBorder="1" applyAlignment="1">
      <alignment vertical="center" wrapText="1"/>
    </xf>
    <xf numFmtId="0" fontId="15" fillId="0" borderId="1" xfId="0" applyFont="1" applyBorder="1" applyAlignment="1">
      <alignment vertical="center" wrapText="1"/>
    </xf>
    <xf numFmtId="0" fontId="1" fillId="0" borderId="9" xfId="0" applyFont="1" applyBorder="1" applyAlignment="1">
      <alignment horizontal="center" vertical="center"/>
    </xf>
    <xf numFmtId="0" fontId="1" fillId="0" borderId="14" xfId="0" applyFont="1" applyBorder="1" applyAlignment="1">
      <alignment horizontal="center" vertical="center"/>
    </xf>
    <xf numFmtId="0" fontId="15" fillId="0" borderId="2" xfId="0" applyFont="1" applyBorder="1" applyAlignment="1">
      <alignment vertical="center" wrapText="1"/>
    </xf>
    <xf numFmtId="0" fontId="15" fillId="0" borderId="5" xfId="0" applyFont="1" applyBorder="1" applyAlignment="1">
      <alignment horizontal="center" vertical="center" wrapText="1"/>
    </xf>
    <xf numFmtId="0" fontId="15" fillId="0" borderId="11" xfId="0" applyFont="1" applyBorder="1" applyAlignment="1">
      <alignment vertical="center" wrapText="1"/>
    </xf>
    <xf numFmtId="0" fontId="0" fillId="0" borderId="7" xfId="0" applyBorder="1" applyAlignment="1">
      <alignment horizontal="center" vertical="center"/>
    </xf>
    <xf numFmtId="0" fontId="3" fillId="3" borderId="7" xfId="0" applyFont="1" applyFill="1" applyBorder="1" applyAlignment="1">
      <alignment horizontal="center" vertical="center"/>
    </xf>
    <xf numFmtId="0" fontId="3" fillId="4" borderId="7" xfId="0" applyFont="1" applyFill="1" applyBorder="1" applyAlignment="1">
      <alignment horizontal="center" vertical="center"/>
    </xf>
    <xf numFmtId="0" fontId="0" fillId="0" borderId="9" xfId="0" applyBorder="1"/>
    <xf numFmtId="0" fontId="15" fillId="0" borderId="15" xfId="0" applyFont="1" applyBorder="1" applyAlignment="1">
      <alignment vertical="center" wrapText="1"/>
    </xf>
    <xf numFmtId="0" fontId="0" fillId="0" borderId="15" xfId="0" applyBorder="1" applyAlignment="1">
      <alignment vertical="center" wrapText="1"/>
    </xf>
    <xf numFmtId="0" fontId="3" fillId="3" borderId="9" xfId="0" applyFont="1" applyFill="1" applyBorder="1" applyAlignment="1">
      <alignment horizontal="center" vertical="center"/>
    </xf>
    <xf numFmtId="0" fontId="3" fillId="3" borderId="9" xfId="0" applyFont="1" applyFill="1" applyBorder="1" applyAlignment="1">
      <alignment horizontal="center" vertical="center" wrapText="1"/>
    </xf>
    <xf numFmtId="0" fontId="1" fillId="0" borderId="7" xfId="0" applyFont="1" applyBorder="1" applyAlignment="1">
      <alignment horizontal="center" vertical="center"/>
    </xf>
    <xf numFmtId="0" fontId="1" fillId="0" borderId="16" xfId="0" applyFont="1" applyBorder="1" applyAlignment="1">
      <alignment horizontal="center" vertical="center"/>
    </xf>
    <xf numFmtId="0" fontId="0" fillId="0" borderId="11" xfId="0" applyBorder="1" applyAlignment="1">
      <alignment horizontal="center" vertical="center"/>
    </xf>
    <xf numFmtId="0" fontId="15" fillId="0" borderId="7" xfId="0" applyFont="1" applyBorder="1" applyAlignment="1">
      <alignment horizontal="left" vertical="center"/>
    </xf>
    <xf numFmtId="0" fontId="0" fillId="0" borderId="7" xfId="0" applyBorder="1" applyAlignment="1">
      <alignment horizontal="center" vertical="center" wrapText="1"/>
    </xf>
    <xf numFmtId="0" fontId="15" fillId="0" borderId="7" xfId="0" applyFont="1" applyBorder="1" applyAlignment="1">
      <alignment horizontal="center" vertical="center" wrapText="1"/>
    </xf>
    <xf numFmtId="0" fontId="3" fillId="3" borderId="12" xfId="0" applyFont="1" applyFill="1"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wrapText="1"/>
    </xf>
    <xf numFmtId="0" fontId="15" fillId="0" borderId="4" xfId="0" applyFont="1" applyBorder="1" applyAlignment="1">
      <alignment horizontal="center" vertical="center" wrapText="1"/>
    </xf>
    <xf numFmtId="0" fontId="0" fillId="0" borderId="15" xfId="0" applyBorder="1" applyAlignment="1">
      <alignment horizontal="center" vertical="center"/>
    </xf>
    <xf numFmtId="0" fontId="15" fillId="0" borderId="9" xfId="0" applyFont="1" applyBorder="1" applyAlignment="1">
      <alignment vertical="center" wrapText="1"/>
    </xf>
    <xf numFmtId="0" fontId="0" fillId="0" borderId="15" xfId="0" applyBorder="1" applyAlignment="1">
      <alignment horizontal="center" vertical="center" wrapText="1"/>
    </xf>
    <xf numFmtId="164" fontId="0" fillId="0" borderId="0" xfId="0" applyNumberFormat="1"/>
    <xf numFmtId="0" fontId="15" fillId="0" borderId="15" xfId="0" applyFont="1" applyBorder="1" applyAlignment="1">
      <alignment horizontal="left" vertical="center"/>
    </xf>
    <xf numFmtId="0" fontId="0" fillId="0" borderId="16" xfId="0" applyBorder="1" applyAlignment="1">
      <alignment horizontal="center" vertical="center" wrapText="1"/>
    </xf>
    <xf numFmtId="0" fontId="15" fillId="0" borderId="9" xfId="0" applyFont="1" applyBorder="1" applyAlignment="1">
      <alignment horizontal="center" vertical="center" wrapText="1"/>
    </xf>
    <xf numFmtId="0" fontId="0" fillId="0" borderId="0" xfId="0" applyAlignment="1">
      <alignment horizontal="center" vertical="center" wrapText="1"/>
    </xf>
    <xf numFmtId="0" fontId="0" fillId="0" borderId="7" xfId="0" applyBorder="1" applyAlignment="1">
      <alignment horizontal="left" vertical="center" wrapText="1"/>
    </xf>
    <xf numFmtId="0" fontId="19" fillId="0" borderId="7" xfId="0" applyFont="1" applyBorder="1" applyAlignment="1">
      <alignment horizontal="left" vertical="center" wrapText="1"/>
    </xf>
    <xf numFmtId="0" fontId="18" fillId="0" borderId="7" xfId="0" applyFont="1" applyBorder="1" applyAlignment="1">
      <alignment horizontal="left" vertical="center" wrapText="1"/>
    </xf>
    <xf numFmtId="0" fontId="18" fillId="0" borderId="15" xfId="0" applyFont="1" applyBorder="1" applyAlignment="1">
      <alignment horizontal="center" vertical="center" wrapText="1"/>
    </xf>
    <xf numFmtId="0" fontId="18" fillId="0" borderId="15" xfId="0" applyFont="1" applyBorder="1" applyAlignment="1">
      <alignment horizontal="left" vertical="center" wrapText="1"/>
    </xf>
    <xf numFmtId="0" fontId="0" fillId="0" borderId="7" xfId="0" applyBorder="1" applyAlignment="1">
      <alignment wrapText="1"/>
    </xf>
    <xf numFmtId="0" fontId="1" fillId="0" borderId="11" xfId="0" applyFont="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wrapText="1"/>
    </xf>
    <xf numFmtId="0" fontId="0" fillId="0" borderId="12" xfId="0" applyBorder="1" applyAlignment="1">
      <alignment horizontal="center" vertical="center" wrapText="1"/>
    </xf>
    <xf numFmtId="0" fontId="0" fillId="0" borderId="9" xfId="0" applyBorder="1" applyAlignment="1">
      <alignment wrapText="1"/>
    </xf>
    <xf numFmtId="0" fontId="0" fillId="0" borderId="20" xfId="0" applyBorder="1" applyAlignment="1">
      <alignment horizontal="center" vertical="center" wrapText="1"/>
    </xf>
    <xf numFmtId="0" fontId="0" fillId="0" borderId="15" xfId="0" applyBorder="1" applyAlignment="1">
      <alignment wrapText="1"/>
    </xf>
    <xf numFmtId="0" fontId="0" fillId="0" borderId="9" xfId="0" applyBorder="1" applyAlignment="1">
      <alignment horizontal="left" wrapText="1"/>
    </xf>
    <xf numFmtId="0" fontId="15" fillId="0" borderId="21" xfId="0" applyFont="1" applyBorder="1" applyAlignment="1">
      <alignment vertical="center" wrapText="1"/>
    </xf>
    <xf numFmtId="0" fontId="0" fillId="0" borderId="15" xfId="0" applyBorder="1"/>
    <xf numFmtId="0" fontId="0" fillId="0" borderId="21" xfId="0" applyBorder="1" applyAlignment="1">
      <alignment horizontal="center" vertical="center"/>
    </xf>
    <xf numFmtId="0" fontId="15" fillId="0" borderId="7" xfId="0" applyFont="1" applyBorder="1" applyAlignment="1">
      <alignment wrapText="1"/>
    </xf>
    <xf numFmtId="0" fontId="0" fillId="0" borderId="21" xfId="0" applyBorder="1"/>
    <xf numFmtId="0" fontId="15" fillId="0" borderId="21" xfId="0" applyFont="1" applyBorder="1" applyAlignment="1">
      <alignment wrapText="1"/>
    </xf>
    <xf numFmtId="0" fontId="0" fillId="0" borderId="22" xfId="0" applyBorder="1" applyAlignment="1">
      <alignment horizontal="center" vertical="center" wrapText="1"/>
    </xf>
    <xf numFmtId="0" fontId="0" fillId="0" borderId="11" xfId="0" applyBorder="1"/>
    <xf numFmtId="0" fontId="0" fillId="0" borderId="7" xfId="0" applyBorder="1" applyAlignment="1">
      <alignment horizontal="center"/>
    </xf>
    <xf numFmtId="0" fontId="15" fillId="0" borderId="21" xfId="0" applyFont="1" applyBorder="1" applyAlignment="1">
      <alignment horizontal="center" vertical="center" wrapText="1"/>
    </xf>
    <xf numFmtId="0" fontId="15" fillId="0" borderId="15" xfId="0" applyFont="1" applyBorder="1" applyAlignment="1">
      <alignment horizontal="center" vertical="center" wrapText="1"/>
    </xf>
    <xf numFmtId="0" fontId="0" fillId="0" borderId="9" xfId="0" applyBorder="1" applyAlignment="1">
      <alignment horizontal="center"/>
    </xf>
    <xf numFmtId="0" fontId="0" fillId="0" borderId="11" xfId="0" applyBorder="1" applyAlignment="1">
      <alignment horizontal="center" vertical="center" wrapText="1"/>
    </xf>
    <xf numFmtId="0" fontId="15" fillId="0" borderId="15" xfId="0" applyFont="1" applyBorder="1" applyAlignment="1">
      <alignment wrapText="1"/>
    </xf>
    <xf numFmtId="0" fontId="0" fillId="0" borderId="16" xfId="0" applyBorder="1" applyAlignment="1">
      <alignment horizontal="center"/>
    </xf>
    <xf numFmtId="0" fontId="0" fillId="0" borderId="12" xfId="0" applyBorder="1" applyAlignment="1">
      <alignment horizontal="center"/>
    </xf>
    <xf numFmtId="0" fontId="0" fillId="0" borderId="18" xfId="0" applyBorder="1" applyAlignment="1">
      <alignment wrapText="1"/>
    </xf>
    <xf numFmtId="0" fontId="15" fillId="0" borderId="18" xfId="0" applyFont="1" applyBorder="1" applyAlignment="1">
      <alignment vertical="center" wrapText="1"/>
    </xf>
    <xf numFmtId="0" fontId="0" fillId="0" borderId="9" xfId="0" applyBorder="1" applyAlignment="1">
      <alignment horizontal="center" vertical="center" wrapText="1"/>
    </xf>
    <xf numFmtId="0" fontId="15" fillId="0" borderId="11" xfId="0" applyFont="1" applyBorder="1" applyAlignment="1">
      <alignment horizontal="center" vertical="center" wrapText="1"/>
    </xf>
    <xf numFmtId="0" fontId="15" fillId="0" borderId="7" xfId="0" applyFont="1" applyBorder="1" applyAlignment="1">
      <alignment horizontal="left" vertical="top" wrapText="1"/>
    </xf>
    <xf numFmtId="0" fontId="15" fillId="0" borderId="15" xfId="0" applyFont="1" applyBorder="1" applyAlignment="1">
      <alignment horizontal="left" vertical="top" wrapText="1"/>
    </xf>
    <xf numFmtId="0" fontId="1" fillId="0" borderId="7" xfId="0" applyFont="1" applyBorder="1" applyAlignment="1">
      <alignment horizontal="center" vertical="center"/>
    </xf>
    <xf numFmtId="14" fontId="0" fillId="0" borderId="7" xfId="0" applyNumberFormat="1" applyBorder="1" applyAlignment="1">
      <alignment horizontal="center" vertical="center" wrapText="1"/>
    </xf>
    <xf numFmtId="14" fontId="0" fillId="0" borderId="7" xfId="0" applyNumberFormat="1" applyBorder="1" applyAlignment="1">
      <alignment horizontal="center"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14" fontId="0" fillId="0" borderId="1" xfId="0" applyNumberFormat="1" applyBorder="1" applyAlignment="1">
      <alignment horizontal="center" vertical="center" wrapTex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1" xfId="0" applyBorder="1" applyAlignment="1">
      <alignment horizontal="center" vertical="center" wrapText="1"/>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4" xfId="0" applyNumberFormat="1" applyBorder="1" applyAlignment="1">
      <alignment horizontal="center" vertical="center"/>
    </xf>
    <xf numFmtId="14" fontId="0" fillId="0" borderId="2" xfId="0" applyNumberFormat="1" applyBorder="1" applyAlignment="1">
      <alignment horizontal="center" vertical="center" wrapText="1"/>
    </xf>
    <xf numFmtId="14" fontId="0" fillId="0" borderId="3" xfId="0" applyNumberFormat="1" applyBorder="1" applyAlignment="1">
      <alignment horizontal="center" vertical="center" wrapText="1"/>
    </xf>
    <xf numFmtId="14" fontId="0" fillId="0" borderId="4" xfId="0" applyNumberFormat="1" applyBorder="1" applyAlignment="1">
      <alignment horizontal="center" vertical="center" wrapText="1"/>
    </xf>
    <xf numFmtId="0" fontId="1" fillId="0" borderId="1" xfId="0" applyFont="1" applyBorder="1" applyAlignment="1">
      <alignment horizontal="center" vertical="center"/>
    </xf>
    <xf numFmtId="0" fontId="1" fillId="0" borderId="12" xfId="0" applyFont="1" applyBorder="1" applyAlignment="1">
      <alignment horizontal="center" vertical="center"/>
    </xf>
    <xf numFmtId="0" fontId="1" fillId="0" borderId="13" xfId="0" applyFont="1" applyBorder="1" applyAlignment="1">
      <alignment horizontal="center" vertical="center"/>
    </xf>
    <xf numFmtId="0" fontId="1" fillId="0" borderId="14" xfId="0" applyFont="1" applyBorder="1" applyAlignment="1">
      <alignment horizontal="center" vertical="center"/>
    </xf>
    <xf numFmtId="14" fontId="0" fillId="0" borderId="16" xfId="0" applyNumberFormat="1" applyBorder="1" applyAlignment="1">
      <alignment horizontal="center" vertical="center" wrapText="1"/>
    </xf>
    <xf numFmtId="14" fontId="0" fillId="0" borderId="9" xfId="0" applyNumberFormat="1" applyBorder="1" applyAlignment="1">
      <alignment horizontal="center" vertical="center" wrapText="1"/>
    </xf>
    <xf numFmtId="14" fontId="0" fillId="0" borderId="10" xfId="0" applyNumberFormat="1" applyBorder="1" applyAlignment="1">
      <alignment horizontal="center" vertical="center" wrapText="1"/>
    </xf>
    <xf numFmtId="14" fontId="0" fillId="0" borderId="11" xfId="0" applyNumberFormat="1" applyBorder="1" applyAlignment="1">
      <alignment horizontal="center" vertical="center" wrapText="1"/>
    </xf>
    <xf numFmtId="14" fontId="0" fillId="0" borderId="9" xfId="0" applyNumberFormat="1" applyBorder="1" applyAlignment="1">
      <alignment horizontal="center" vertical="center"/>
    </xf>
    <xf numFmtId="14" fontId="0" fillId="0" borderId="10" xfId="0" applyNumberFormat="1" applyBorder="1" applyAlignment="1">
      <alignment horizontal="center" vertical="center"/>
    </xf>
    <xf numFmtId="14" fontId="0" fillId="0" borderId="11" xfId="0" applyNumberFormat="1" applyBorder="1" applyAlignment="1">
      <alignment horizontal="center" vertical="center"/>
    </xf>
    <xf numFmtId="14" fontId="0" fillId="0" borderId="16" xfId="0" applyNumberFormat="1" applyBorder="1" applyAlignment="1">
      <alignment horizontal="center" vertical="center"/>
    </xf>
    <xf numFmtId="14" fontId="0" fillId="0" borderId="15" xfId="0" applyNumberFormat="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E4EE0-521E-4598-9DC8-F56B490D3058}">
  <dimension ref="A4:G18"/>
  <sheetViews>
    <sheetView topLeftCell="A6" workbookViewId="0">
      <selection activeCell="E25" sqref="E25"/>
    </sheetView>
  </sheetViews>
  <sheetFormatPr defaultRowHeight="15"/>
  <cols>
    <col min="1" max="1" width="9.42578125" bestFit="1" customWidth="1"/>
    <col min="2" max="2" width="12.5703125" customWidth="1"/>
    <col min="3" max="3" width="22.42578125" customWidth="1"/>
    <col min="4" max="4" width="52.140625" customWidth="1"/>
    <col min="5" max="5" width="14.7109375" customWidth="1"/>
    <col min="6" max="7" width="55.140625" customWidth="1"/>
  </cols>
  <sheetData>
    <row r="4" spans="1:7">
      <c r="B4" s="1" t="s">
        <v>0</v>
      </c>
      <c r="C4" s="1" t="s">
        <v>1</v>
      </c>
      <c r="D4" s="1" t="s">
        <v>2</v>
      </c>
    </row>
    <row r="5" spans="1:7" ht="45">
      <c r="B5" s="117">
        <v>46092</v>
      </c>
      <c r="C5" s="2" t="s">
        <v>3</v>
      </c>
      <c r="D5" s="3" t="s">
        <v>4</v>
      </c>
    </row>
    <row r="6" spans="1:7" ht="45">
      <c r="B6" s="117"/>
      <c r="C6" s="2" t="s">
        <v>5</v>
      </c>
      <c r="D6" s="3" t="s">
        <v>6</v>
      </c>
    </row>
    <row r="7" spans="1:7" ht="30">
      <c r="B7" s="117"/>
      <c r="C7" s="116" t="s">
        <v>7</v>
      </c>
      <c r="D7" s="5" t="s">
        <v>8</v>
      </c>
    </row>
    <row r="8" spans="1:7" ht="30">
      <c r="B8" s="117"/>
      <c r="C8" s="116"/>
      <c r="D8" s="3" t="s">
        <v>9</v>
      </c>
    </row>
    <row r="9" spans="1:7">
      <c r="B9" s="117"/>
      <c r="C9" s="116"/>
      <c r="D9" s="3" t="s">
        <v>10</v>
      </c>
    </row>
    <row r="10" spans="1:7" ht="45">
      <c r="B10" s="117"/>
      <c r="C10" s="116"/>
      <c r="D10" s="3" t="s">
        <v>11</v>
      </c>
    </row>
    <row r="11" spans="1:7">
      <c r="B11" s="117"/>
      <c r="C11" s="116"/>
      <c r="D11" s="3" t="s">
        <v>12</v>
      </c>
    </row>
    <row r="12" spans="1:7" ht="45">
      <c r="B12" s="117"/>
      <c r="C12" s="2" t="s">
        <v>13</v>
      </c>
      <c r="D12" s="4" t="s">
        <v>14</v>
      </c>
    </row>
    <row r="15" spans="1:7" ht="15.75">
      <c r="A15" s="17" t="s">
        <v>0</v>
      </c>
      <c r="B15" s="18" t="s">
        <v>15</v>
      </c>
      <c r="C15" s="17" t="s">
        <v>1</v>
      </c>
      <c r="D15" s="17" t="s">
        <v>16</v>
      </c>
      <c r="E15" s="17" t="s">
        <v>17</v>
      </c>
      <c r="F15" s="17" t="s">
        <v>18</v>
      </c>
      <c r="G15" s="23" t="s">
        <v>19</v>
      </c>
    </row>
    <row r="16" spans="1:7" ht="45">
      <c r="A16" s="117">
        <v>46092</v>
      </c>
      <c r="B16" s="118" t="s">
        <v>20</v>
      </c>
      <c r="C16" s="30" t="s">
        <v>3</v>
      </c>
      <c r="D16" s="13" t="s">
        <v>21</v>
      </c>
      <c r="E16" s="19" t="s">
        <v>22</v>
      </c>
      <c r="F16" s="19"/>
      <c r="G16" s="3" t="s">
        <v>23</v>
      </c>
    </row>
    <row r="17" spans="1:7" ht="165">
      <c r="A17" s="117"/>
      <c r="B17" s="118"/>
      <c r="C17" s="30" t="s">
        <v>24</v>
      </c>
      <c r="D17" s="13" t="s">
        <v>25</v>
      </c>
      <c r="E17" s="19" t="s">
        <v>26</v>
      </c>
      <c r="F17" s="19"/>
      <c r="G17" s="3" t="s">
        <v>27</v>
      </c>
    </row>
    <row r="18" spans="1:7" ht="90">
      <c r="A18" s="117"/>
      <c r="B18" s="118"/>
      <c r="C18" s="25" t="s">
        <v>28</v>
      </c>
      <c r="D18" s="13" t="s">
        <v>29</v>
      </c>
      <c r="E18" s="19" t="s">
        <v>30</v>
      </c>
      <c r="F18" s="19"/>
      <c r="G18" s="20" t="s">
        <v>31</v>
      </c>
    </row>
  </sheetData>
  <mergeCells count="4">
    <mergeCell ref="C7:C11"/>
    <mergeCell ref="B5:B12"/>
    <mergeCell ref="A16:A18"/>
    <mergeCell ref="B16:B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64239-5B0A-4076-83A7-DB0C60AFDEB2}">
  <dimension ref="A3:J27"/>
  <sheetViews>
    <sheetView topLeftCell="A3" workbookViewId="0">
      <selection activeCell="D26" sqref="D26"/>
    </sheetView>
  </sheetViews>
  <sheetFormatPr defaultRowHeight="15"/>
  <cols>
    <col min="1" max="1" width="9.42578125" bestFit="1" customWidth="1"/>
    <col min="2" max="2" width="11.28515625" customWidth="1"/>
    <col min="3" max="3" width="20.7109375" customWidth="1"/>
    <col min="4" max="4" width="53.140625" customWidth="1"/>
    <col min="5" max="5" width="15.140625" customWidth="1"/>
    <col min="6" max="6" width="66.5703125" customWidth="1"/>
    <col min="7" max="7" width="71.7109375" customWidth="1"/>
    <col min="10" max="10" width="11" style="7" customWidth="1"/>
  </cols>
  <sheetData>
    <row r="3" spans="1:10">
      <c r="B3" s="11" t="s">
        <v>0</v>
      </c>
      <c r="C3" s="11" t="s">
        <v>1</v>
      </c>
      <c r="D3" s="11" t="s">
        <v>2</v>
      </c>
      <c r="E3" s="11" t="s">
        <v>32</v>
      </c>
      <c r="F3" s="11" t="s">
        <v>33</v>
      </c>
      <c r="G3" s="10"/>
    </row>
    <row r="4" spans="1:10" ht="24.75" customHeight="1">
      <c r="B4" s="117">
        <v>46093</v>
      </c>
      <c r="C4" s="125" t="s">
        <v>3</v>
      </c>
      <c r="D4" s="3" t="s">
        <v>34</v>
      </c>
      <c r="E4" s="9"/>
      <c r="F4" s="9"/>
    </row>
    <row r="5" spans="1:10" ht="24.75" customHeight="1">
      <c r="B5" s="117"/>
      <c r="C5" s="126"/>
      <c r="D5" s="3" t="s">
        <v>35</v>
      </c>
      <c r="E5" s="9"/>
      <c r="F5" s="9"/>
    </row>
    <row r="6" spans="1:10" ht="24.75" customHeight="1">
      <c r="B6" s="117"/>
      <c r="C6" s="126"/>
      <c r="D6" s="3" t="s">
        <v>36</v>
      </c>
      <c r="E6" s="9"/>
      <c r="F6" s="9"/>
    </row>
    <row r="7" spans="1:10" ht="24.75" customHeight="1">
      <c r="B7" s="117"/>
      <c r="C7" s="126"/>
      <c r="D7" s="3" t="s">
        <v>37</v>
      </c>
      <c r="E7" s="9"/>
      <c r="F7" s="9"/>
    </row>
    <row r="8" spans="1:10" ht="24.75" customHeight="1">
      <c r="B8" s="117"/>
      <c r="C8" s="126"/>
      <c r="D8" s="3" t="s">
        <v>38</v>
      </c>
      <c r="E8" s="9"/>
      <c r="F8" s="9"/>
    </row>
    <row r="9" spans="1:10" ht="40.5" customHeight="1">
      <c r="B9" s="117"/>
      <c r="C9" s="126"/>
      <c r="D9" s="3" t="s">
        <v>39</v>
      </c>
      <c r="E9" s="9"/>
      <c r="F9" s="9"/>
    </row>
    <row r="10" spans="1:10" ht="24.75" customHeight="1">
      <c r="B10" s="117"/>
      <c r="C10" s="126"/>
      <c r="D10" s="3" t="s">
        <v>40</v>
      </c>
      <c r="E10" s="9"/>
      <c r="F10" s="9"/>
    </row>
    <row r="11" spans="1:10" ht="24.75" customHeight="1">
      <c r="B11" s="117"/>
      <c r="C11" s="127"/>
      <c r="D11" s="3" t="s">
        <v>41</v>
      </c>
      <c r="E11" s="9"/>
      <c r="F11" s="9"/>
    </row>
    <row r="12" spans="1:10" ht="24.75" customHeight="1">
      <c r="B12" s="117"/>
      <c r="C12" s="122" t="s">
        <v>42</v>
      </c>
      <c r="D12" s="3" t="s">
        <v>43</v>
      </c>
      <c r="E12" s="9"/>
      <c r="F12" s="9"/>
    </row>
    <row r="13" spans="1:10" ht="24.75" customHeight="1">
      <c r="B13" s="117"/>
      <c r="C13" s="123"/>
      <c r="D13" s="3" t="s">
        <v>44</v>
      </c>
      <c r="E13" s="9"/>
      <c r="F13" s="9"/>
    </row>
    <row r="14" spans="1:10" ht="32.25" customHeight="1">
      <c r="B14" s="117"/>
      <c r="C14" s="124"/>
      <c r="D14" s="3" t="s">
        <v>45</v>
      </c>
      <c r="E14" s="9"/>
      <c r="F14" s="9"/>
      <c r="I14" s="8"/>
    </row>
    <row r="15" spans="1:10" ht="24.75" customHeight="1">
      <c r="J15"/>
    </row>
    <row r="16" spans="1:10" ht="31.5">
      <c r="A16" s="17" t="s">
        <v>0</v>
      </c>
      <c r="B16" s="18" t="s">
        <v>15</v>
      </c>
      <c r="C16" s="17" t="s">
        <v>1</v>
      </c>
      <c r="D16" s="17" t="s">
        <v>16</v>
      </c>
      <c r="E16" s="17" t="s">
        <v>17</v>
      </c>
      <c r="F16" s="17" t="s">
        <v>18</v>
      </c>
      <c r="G16" s="23" t="s">
        <v>19</v>
      </c>
    </row>
    <row r="17" spans="1:7" ht="60">
      <c r="A17" s="117">
        <v>46093</v>
      </c>
      <c r="B17" s="118" t="s">
        <v>20</v>
      </c>
      <c r="C17" s="119" t="s">
        <v>3</v>
      </c>
      <c r="D17" s="13" t="s">
        <v>46</v>
      </c>
      <c r="E17" s="19" t="s">
        <v>26</v>
      </c>
      <c r="F17" s="19"/>
      <c r="G17" s="20" t="s">
        <v>47</v>
      </c>
    </row>
    <row r="18" spans="1:7" ht="45">
      <c r="A18" s="117"/>
      <c r="B18" s="118"/>
      <c r="C18" s="120"/>
      <c r="D18" s="13" t="s">
        <v>48</v>
      </c>
      <c r="E18" s="19" t="s">
        <v>26</v>
      </c>
      <c r="F18" s="19"/>
      <c r="G18" s="20" t="s">
        <v>47</v>
      </c>
    </row>
    <row r="19" spans="1:7" ht="45">
      <c r="A19" s="117"/>
      <c r="B19" s="118"/>
      <c r="C19" s="120"/>
      <c r="D19" s="13" t="s">
        <v>49</v>
      </c>
      <c r="E19" s="19" t="s">
        <v>26</v>
      </c>
      <c r="F19" s="19"/>
      <c r="G19" s="20" t="s">
        <v>47</v>
      </c>
    </row>
    <row r="20" spans="1:7" ht="45">
      <c r="A20" s="117"/>
      <c r="B20" s="118"/>
      <c r="C20" s="120"/>
      <c r="D20" s="13" t="s">
        <v>50</v>
      </c>
      <c r="E20" s="19" t="s">
        <v>26</v>
      </c>
      <c r="F20" s="19"/>
      <c r="G20" s="20" t="s">
        <v>51</v>
      </c>
    </row>
    <row r="21" spans="1:7" ht="45">
      <c r="A21" s="117"/>
      <c r="B21" s="118"/>
      <c r="C21" s="120"/>
      <c r="D21" s="13" t="s">
        <v>52</v>
      </c>
      <c r="E21" s="19" t="s">
        <v>26</v>
      </c>
      <c r="F21" s="19"/>
      <c r="G21" s="20" t="s">
        <v>47</v>
      </c>
    </row>
    <row r="22" spans="1:7" ht="105">
      <c r="A22" s="117"/>
      <c r="B22" s="118"/>
      <c r="C22" s="120"/>
      <c r="D22" s="13" t="s">
        <v>25</v>
      </c>
      <c r="E22" s="19" t="s">
        <v>26</v>
      </c>
      <c r="F22" s="19"/>
      <c r="G22" s="20" t="s">
        <v>53</v>
      </c>
    </row>
    <row r="23" spans="1:7" ht="75">
      <c r="A23" s="117"/>
      <c r="B23" s="118"/>
      <c r="C23" s="120"/>
      <c r="D23" s="13" t="s">
        <v>29</v>
      </c>
      <c r="E23" s="19" t="s">
        <v>30</v>
      </c>
      <c r="F23" s="19"/>
      <c r="G23" s="20" t="s">
        <v>31</v>
      </c>
    </row>
    <row r="24" spans="1:7" ht="75">
      <c r="A24" s="117"/>
      <c r="B24" s="118"/>
      <c r="C24" s="121"/>
      <c r="D24" s="13" t="s">
        <v>54</v>
      </c>
      <c r="E24" s="19" t="s">
        <v>26</v>
      </c>
      <c r="F24" s="19"/>
      <c r="G24" s="20" t="s">
        <v>55</v>
      </c>
    </row>
    <row r="25" spans="1:7" ht="45">
      <c r="A25" s="117"/>
      <c r="B25" s="118"/>
      <c r="C25" s="119" t="s">
        <v>24</v>
      </c>
      <c r="D25" s="13" t="s">
        <v>56</v>
      </c>
      <c r="E25" s="19" t="s">
        <v>26</v>
      </c>
      <c r="F25" s="19"/>
      <c r="G25" s="3" t="s">
        <v>57</v>
      </c>
    </row>
    <row r="26" spans="1:7" ht="108" customHeight="1">
      <c r="A26" s="117"/>
      <c r="B26" s="118"/>
      <c r="C26" s="120"/>
      <c r="D26" s="13" t="s">
        <v>58</v>
      </c>
      <c r="E26" s="19" t="s">
        <v>26</v>
      </c>
      <c r="F26" s="19"/>
      <c r="G26" s="3" t="s">
        <v>59</v>
      </c>
    </row>
    <row r="27" spans="1:7" ht="32.25" customHeight="1">
      <c r="A27" s="117"/>
      <c r="B27" s="118"/>
      <c r="C27" s="121"/>
      <c r="D27" s="13" t="s">
        <v>60</v>
      </c>
      <c r="E27" s="19" t="s">
        <v>61</v>
      </c>
      <c r="F27" s="19"/>
      <c r="G27" s="20" t="s">
        <v>62</v>
      </c>
    </row>
  </sheetData>
  <mergeCells count="7">
    <mergeCell ref="A17:A27"/>
    <mergeCell ref="C17:C24"/>
    <mergeCell ref="C25:C27"/>
    <mergeCell ref="B4:B14"/>
    <mergeCell ref="C12:C14"/>
    <mergeCell ref="C4:C11"/>
    <mergeCell ref="B17:B27"/>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F7DCB-AA3D-4ED1-A0CE-4C8DA9771DD8}">
  <dimension ref="B2:G1048547"/>
  <sheetViews>
    <sheetView workbookViewId="0">
      <selection activeCell="E6" sqref="E6"/>
    </sheetView>
  </sheetViews>
  <sheetFormatPr defaultRowHeight="15"/>
  <cols>
    <col min="2" max="2" width="12.42578125" customWidth="1"/>
    <col min="3" max="3" width="13.140625" customWidth="1"/>
    <col min="4" max="4" width="17.5703125" customWidth="1"/>
    <col min="5" max="5" width="63.7109375" customWidth="1"/>
    <col min="6" max="6" width="23.85546875" style="12" customWidth="1"/>
    <col min="7" max="7" width="58.140625" customWidth="1"/>
  </cols>
  <sheetData>
    <row r="2" spans="2:7" s="16" customFormat="1" ht="33.75" customHeight="1">
      <c r="B2" s="17" t="s">
        <v>0</v>
      </c>
      <c r="C2" s="18" t="s">
        <v>15</v>
      </c>
      <c r="D2" s="17" t="s">
        <v>1</v>
      </c>
      <c r="E2" s="17" t="s">
        <v>16</v>
      </c>
      <c r="F2" s="17" t="s">
        <v>17</v>
      </c>
      <c r="G2" s="17" t="s">
        <v>19</v>
      </c>
    </row>
    <row r="3" spans="2:7" s="14" customFormat="1" ht="35.25" customHeight="1">
      <c r="B3" s="129">
        <v>46094</v>
      </c>
      <c r="C3" s="132" t="s">
        <v>63</v>
      </c>
      <c r="D3" s="125" t="s">
        <v>3</v>
      </c>
      <c r="E3" s="13" t="s">
        <v>45</v>
      </c>
      <c r="F3" s="19" t="s">
        <v>64</v>
      </c>
      <c r="G3" s="20" t="s">
        <v>65</v>
      </c>
    </row>
    <row r="4" spans="2:7" s="14" customFormat="1" ht="69.75" customHeight="1">
      <c r="B4" s="130"/>
      <c r="C4" s="133"/>
      <c r="D4" s="126"/>
      <c r="E4" s="13" t="s">
        <v>66</v>
      </c>
      <c r="F4" s="19" t="s">
        <v>67</v>
      </c>
      <c r="G4" s="20" t="s">
        <v>68</v>
      </c>
    </row>
    <row r="5" spans="2:7" s="14" customFormat="1" ht="29.25" customHeight="1">
      <c r="B5" s="130"/>
      <c r="C5" s="133"/>
      <c r="D5" s="127"/>
      <c r="E5" s="13" t="s">
        <v>43</v>
      </c>
      <c r="F5" s="19" t="s">
        <v>69</v>
      </c>
      <c r="G5" s="15" t="s">
        <v>70</v>
      </c>
    </row>
    <row r="6" spans="2:7" s="14" customFormat="1" ht="36.75" customHeight="1">
      <c r="B6" s="130"/>
      <c r="C6" s="133"/>
      <c r="D6" s="128" t="s">
        <v>24</v>
      </c>
      <c r="E6" s="13" t="s">
        <v>71</v>
      </c>
      <c r="F6" s="19" t="s">
        <v>64</v>
      </c>
      <c r="G6" s="21"/>
    </row>
    <row r="7" spans="2:7" s="14" customFormat="1" ht="33.75" customHeight="1">
      <c r="B7" s="130"/>
      <c r="C7" s="133"/>
      <c r="D7" s="128"/>
      <c r="E7" s="13" t="s">
        <v>72</v>
      </c>
      <c r="F7" s="19" t="s">
        <v>73</v>
      </c>
      <c r="G7" s="21"/>
    </row>
    <row r="8" spans="2:7" s="14" customFormat="1" ht="31.5" customHeight="1">
      <c r="B8" s="131"/>
      <c r="C8" s="134"/>
      <c r="D8" s="6" t="s">
        <v>28</v>
      </c>
      <c r="E8" s="13" t="s">
        <v>74</v>
      </c>
      <c r="F8" s="19" t="s">
        <v>69</v>
      </c>
      <c r="G8" s="15"/>
    </row>
    <row r="9" spans="2:7" s="14" customFormat="1">
      <c r="F9" s="16"/>
    </row>
    <row r="10" spans="2:7" s="14" customFormat="1">
      <c r="F10" s="16"/>
    </row>
    <row r="11" spans="2:7" s="14" customFormat="1">
      <c r="F11" s="16"/>
    </row>
    <row r="12" spans="2:7" s="14" customFormat="1">
      <c r="F12" s="16"/>
    </row>
    <row r="13" spans="2:7" s="14" customFormat="1">
      <c r="F13" s="16"/>
    </row>
    <row r="1048547" ht="3.75" customHeight="1"/>
  </sheetData>
  <mergeCells count="4">
    <mergeCell ref="D6:D7"/>
    <mergeCell ref="B3:B8"/>
    <mergeCell ref="C3:C8"/>
    <mergeCell ref="D3:D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83872-0C56-49B7-802D-8CBC9550EB6E}">
  <dimension ref="A1:K12"/>
  <sheetViews>
    <sheetView zoomScale="90" zoomScaleNormal="90" workbookViewId="0">
      <pane ySplit="1" topLeftCell="A8" activePane="bottomLeft" state="frozen"/>
      <selection pane="bottomLeft" activeCell="D9" sqref="D9"/>
    </sheetView>
  </sheetViews>
  <sheetFormatPr defaultRowHeight="15"/>
  <cols>
    <col min="1" max="1" width="10" customWidth="1"/>
    <col min="2" max="2" width="11.5703125" customWidth="1"/>
    <col min="3" max="3" width="12.7109375" customWidth="1"/>
    <col min="4" max="4" width="58.28515625" customWidth="1"/>
    <col min="5" max="5" width="14.42578125" customWidth="1"/>
    <col min="6" max="6" width="71.42578125" style="12" customWidth="1"/>
    <col min="7" max="7" width="96.42578125" customWidth="1"/>
    <col min="9" max="9" width="20.85546875" customWidth="1"/>
  </cols>
  <sheetData>
    <row r="1" spans="1:11" ht="15.75">
      <c r="A1" s="17" t="s">
        <v>0</v>
      </c>
      <c r="B1" s="18" t="s">
        <v>15</v>
      </c>
      <c r="C1" s="17" t="s">
        <v>1</v>
      </c>
      <c r="D1" s="17" t="s">
        <v>16</v>
      </c>
      <c r="E1" s="17" t="s">
        <v>17</v>
      </c>
      <c r="F1" s="17" t="s">
        <v>18</v>
      </c>
      <c r="G1" s="23" t="s">
        <v>19</v>
      </c>
    </row>
    <row r="2" spans="1:11" ht="48.75" customHeight="1">
      <c r="A2" s="117">
        <v>46097</v>
      </c>
      <c r="B2" s="118" t="s">
        <v>75</v>
      </c>
      <c r="C2" s="119" t="s">
        <v>3</v>
      </c>
      <c r="D2" s="13" t="s">
        <v>76</v>
      </c>
      <c r="E2" s="19" t="s">
        <v>69</v>
      </c>
      <c r="F2" s="19" t="s">
        <v>77</v>
      </c>
      <c r="G2" s="20" t="s">
        <v>78</v>
      </c>
      <c r="K2" s="24"/>
    </row>
    <row r="3" spans="1:11" ht="48.75" customHeight="1">
      <c r="A3" s="117"/>
      <c r="B3" s="118"/>
      <c r="C3" s="120"/>
      <c r="D3" s="13" t="s">
        <v>79</v>
      </c>
      <c r="E3" s="19" t="s">
        <v>69</v>
      </c>
      <c r="F3" s="19" t="s">
        <v>77</v>
      </c>
      <c r="G3" s="20" t="s">
        <v>78</v>
      </c>
      <c r="K3" s="24"/>
    </row>
    <row r="4" spans="1:11" ht="48.75" customHeight="1">
      <c r="A4" s="117"/>
      <c r="B4" s="118"/>
      <c r="C4" s="120"/>
      <c r="D4" s="22" t="s">
        <v>80</v>
      </c>
      <c r="E4" s="19" t="s">
        <v>69</v>
      </c>
      <c r="F4" s="19" t="s">
        <v>77</v>
      </c>
      <c r="G4" s="20" t="s">
        <v>78</v>
      </c>
      <c r="K4" s="24"/>
    </row>
    <row r="5" spans="1:11" ht="48.75" customHeight="1">
      <c r="A5" s="117"/>
      <c r="B5" s="118"/>
      <c r="C5" s="120"/>
      <c r="D5" s="22" t="s">
        <v>81</v>
      </c>
      <c r="E5" s="19" t="s">
        <v>69</v>
      </c>
      <c r="F5" s="19" t="s">
        <v>77</v>
      </c>
      <c r="G5" s="20" t="s">
        <v>78</v>
      </c>
      <c r="K5" s="24"/>
    </row>
    <row r="6" spans="1:11" ht="48.75" customHeight="1">
      <c r="A6" s="117"/>
      <c r="B6" s="118"/>
      <c r="C6" s="120"/>
      <c r="D6" s="22" t="s">
        <v>82</v>
      </c>
      <c r="E6" s="19" t="s">
        <v>69</v>
      </c>
      <c r="F6" s="19" t="s">
        <v>77</v>
      </c>
      <c r="G6" s="20" t="s">
        <v>78</v>
      </c>
      <c r="K6" s="24"/>
    </row>
    <row r="7" spans="1:11" ht="48.75" customHeight="1">
      <c r="A7" s="117"/>
      <c r="B7" s="118"/>
      <c r="C7" s="120"/>
      <c r="D7" s="22" t="s">
        <v>83</v>
      </c>
      <c r="E7" s="19" t="s">
        <v>69</v>
      </c>
      <c r="F7" s="19" t="s">
        <v>77</v>
      </c>
      <c r="G7" s="20" t="s">
        <v>78</v>
      </c>
      <c r="K7" s="24"/>
    </row>
    <row r="8" spans="1:11" ht="102" customHeight="1">
      <c r="A8" s="117"/>
      <c r="B8" s="118"/>
      <c r="C8" s="121"/>
      <c r="D8" s="22" t="s">
        <v>74</v>
      </c>
      <c r="E8" s="19" t="s">
        <v>69</v>
      </c>
      <c r="F8" s="19" t="s">
        <v>84</v>
      </c>
      <c r="G8" s="20" t="s">
        <v>85</v>
      </c>
      <c r="K8" s="24"/>
    </row>
    <row r="9" spans="1:11" ht="36" customHeight="1">
      <c r="A9" s="117"/>
      <c r="B9" s="118"/>
      <c r="C9" s="119" t="s">
        <v>5</v>
      </c>
      <c r="D9" s="22" t="s">
        <v>86</v>
      </c>
      <c r="E9" s="19" t="s">
        <v>69</v>
      </c>
      <c r="F9" s="19"/>
      <c r="G9" s="20"/>
      <c r="K9" s="24"/>
    </row>
    <row r="10" spans="1:11" ht="48.75" customHeight="1">
      <c r="A10" s="117"/>
      <c r="B10" s="118"/>
      <c r="C10" s="121"/>
      <c r="D10" s="22" t="s">
        <v>87</v>
      </c>
      <c r="E10" s="19" t="s">
        <v>88</v>
      </c>
      <c r="F10" s="19"/>
      <c r="G10" s="20"/>
      <c r="K10" s="24"/>
    </row>
    <row r="11" spans="1:11" ht="226.5" customHeight="1">
      <c r="A11" s="117"/>
      <c r="B11" s="118"/>
      <c r="C11" s="25" t="s">
        <v>28</v>
      </c>
      <c r="D11" s="13" t="s">
        <v>89</v>
      </c>
      <c r="E11" s="19" t="s">
        <v>69</v>
      </c>
      <c r="F11" s="19" t="s">
        <v>90</v>
      </c>
      <c r="G11" s="9"/>
    </row>
    <row r="12" spans="1:11" ht="48.75" customHeight="1"/>
  </sheetData>
  <mergeCells count="4">
    <mergeCell ref="C9:C10"/>
    <mergeCell ref="A2:A11"/>
    <mergeCell ref="B2:B11"/>
    <mergeCell ref="C2:C8"/>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7FD67-3B95-4617-99E3-2060B61CF0B9}">
  <dimension ref="A1:G12"/>
  <sheetViews>
    <sheetView zoomScaleNormal="100" workbookViewId="0">
      <pane ySplit="1" topLeftCell="A5" activePane="bottomLeft" state="frozen"/>
      <selection pane="bottomLeft" activeCell="D11" sqref="D11"/>
    </sheetView>
  </sheetViews>
  <sheetFormatPr defaultRowHeight="15"/>
  <cols>
    <col min="1" max="1" width="9.42578125" bestFit="1" customWidth="1"/>
    <col min="2" max="2" width="11.7109375" customWidth="1"/>
    <col min="3" max="3" width="14.140625" customWidth="1"/>
    <col min="4" max="4" width="55.5703125" customWidth="1"/>
    <col min="5" max="5" width="16.5703125" customWidth="1"/>
    <col min="6" max="6" width="81.7109375" customWidth="1"/>
    <col min="7" max="7" width="72.7109375" customWidth="1"/>
  </cols>
  <sheetData>
    <row r="1" spans="1:7" ht="15.75">
      <c r="A1" s="17" t="s">
        <v>0</v>
      </c>
      <c r="B1" s="18" t="s">
        <v>15</v>
      </c>
      <c r="C1" s="17" t="s">
        <v>1</v>
      </c>
      <c r="D1" s="17" t="s">
        <v>16</v>
      </c>
      <c r="E1" s="17" t="s">
        <v>17</v>
      </c>
      <c r="F1" s="17" t="s">
        <v>18</v>
      </c>
      <c r="G1" s="23" t="s">
        <v>19</v>
      </c>
    </row>
    <row r="2" spans="1:7" ht="69" customHeight="1">
      <c r="A2" s="117">
        <v>46098</v>
      </c>
      <c r="B2" s="118" t="s">
        <v>91</v>
      </c>
      <c r="C2" s="119" t="s">
        <v>3</v>
      </c>
      <c r="D2" s="22" t="s">
        <v>86</v>
      </c>
      <c r="E2" s="19" t="s">
        <v>69</v>
      </c>
      <c r="F2" s="19"/>
      <c r="G2" s="20" t="s">
        <v>92</v>
      </c>
    </row>
    <row r="3" spans="1:7" ht="63.75" customHeight="1">
      <c r="A3" s="117"/>
      <c r="B3" s="118"/>
      <c r="C3" s="120"/>
      <c r="D3" s="22" t="s">
        <v>87</v>
      </c>
      <c r="E3" s="19" t="s">
        <v>88</v>
      </c>
      <c r="F3" s="19"/>
      <c r="G3" s="19" t="s">
        <v>93</v>
      </c>
    </row>
    <row r="4" spans="1:7" ht="47.25" customHeight="1">
      <c r="A4" s="117"/>
      <c r="B4" s="118"/>
      <c r="C4" s="119" t="s">
        <v>5</v>
      </c>
      <c r="D4" s="22" t="s">
        <v>94</v>
      </c>
      <c r="E4" s="19" t="s">
        <v>95</v>
      </c>
      <c r="F4" s="19" t="s">
        <v>96</v>
      </c>
      <c r="G4" s="20"/>
    </row>
    <row r="5" spans="1:7" ht="33" customHeight="1">
      <c r="A5" s="117"/>
      <c r="B5" s="118"/>
      <c r="C5" s="120"/>
      <c r="D5" s="22" t="s">
        <v>97</v>
      </c>
      <c r="E5" s="19" t="s">
        <v>98</v>
      </c>
      <c r="F5" s="19"/>
      <c r="G5" s="20"/>
    </row>
    <row r="6" spans="1:7" ht="33" customHeight="1">
      <c r="A6" s="117"/>
      <c r="B6" s="118"/>
      <c r="C6" s="120"/>
      <c r="D6" s="22" t="s">
        <v>99</v>
      </c>
      <c r="E6" s="19" t="s">
        <v>69</v>
      </c>
      <c r="F6" s="19"/>
      <c r="G6" s="20"/>
    </row>
    <row r="7" spans="1:7" ht="33" customHeight="1">
      <c r="A7" s="117"/>
      <c r="B7" s="118"/>
      <c r="C7" s="120"/>
      <c r="D7" s="22" t="s">
        <v>100</v>
      </c>
      <c r="E7" s="19" t="s">
        <v>69</v>
      </c>
      <c r="F7" s="19"/>
      <c r="G7" s="20"/>
    </row>
    <row r="8" spans="1:7" ht="33" customHeight="1">
      <c r="A8" s="117"/>
      <c r="B8" s="118"/>
      <c r="C8" s="120"/>
      <c r="D8" s="22" t="s">
        <v>101</v>
      </c>
      <c r="E8" s="19" t="s">
        <v>69</v>
      </c>
      <c r="F8" s="19"/>
      <c r="G8" s="20"/>
    </row>
    <row r="9" spans="1:7" ht="33" customHeight="1">
      <c r="A9" s="117"/>
      <c r="B9" s="118"/>
      <c r="C9" s="120"/>
      <c r="D9" s="22" t="s">
        <v>102</v>
      </c>
      <c r="E9" s="19" t="s">
        <v>69</v>
      </c>
      <c r="F9" s="19"/>
      <c r="G9" s="20"/>
    </row>
    <row r="10" spans="1:7" ht="44.25" customHeight="1">
      <c r="A10" s="117"/>
      <c r="B10" s="118"/>
      <c r="C10" s="120"/>
      <c r="D10" s="26" t="s">
        <v>103</v>
      </c>
      <c r="E10" s="19" t="s">
        <v>69</v>
      </c>
      <c r="F10" s="19"/>
      <c r="G10" s="20"/>
    </row>
    <row r="11" spans="1:7" ht="44.25" customHeight="1">
      <c r="A11" s="117"/>
      <c r="B11" s="118"/>
      <c r="C11" s="121"/>
      <c r="D11" s="13" t="s">
        <v>104</v>
      </c>
      <c r="E11" s="19" t="s">
        <v>69</v>
      </c>
      <c r="F11" s="19"/>
      <c r="G11" s="20"/>
    </row>
    <row r="12" spans="1:7" ht="201.75" customHeight="1">
      <c r="A12" s="117"/>
      <c r="B12" s="118"/>
      <c r="C12" s="25" t="s">
        <v>28</v>
      </c>
      <c r="D12" s="22" t="s">
        <v>89</v>
      </c>
      <c r="E12" s="19" t="s">
        <v>69</v>
      </c>
      <c r="F12" s="19" t="s">
        <v>90</v>
      </c>
      <c r="G12" s="9"/>
    </row>
  </sheetData>
  <mergeCells count="4">
    <mergeCell ref="C4:C11"/>
    <mergeCell ref="C2:C3"/>
    <mergeCell ref="A2:A12"/>
    <mergeCell ref="B2:B1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9D67D-3117-4044-8BED-BDFEFC01F22F}">
  <dimension ref="A1:J13"/>
  <sheetViews>
    <sheetView zoomScaleNormal="100" workbookViewId="0">
      <pane ySplit="1" topLeftCell="A8" activePane="bottomLeft" state="frozen"/>
      <selection pane="bottomLeft" activeCell="D9" sqref="D9"/>
    </sheetView>
  </sheetViews>
  <sheetFormatPr defaultRowHeight="15"/>
  <cols>
    <col min="1" max="1" width="9.28515625" customWidth="1"/>
    <col min="2" max="2" width="10.7109375" customWidth="1"/>
    <col min="3" max="3" width="14.140625" customWidth="1"/>
    <col min="4" max="4" width="58.85546875" customWidth="1"/>
    <col min="5" max="5" width="16.140625" customWidth="1"/>
    <col min="6" max="6" width="84" customWidth="1"/>
    <col min="7" max="7" width="71.7109375" customWidth="1"/>
  </cols>
  <sheetData>
    <row r="1" spans="1:10" ht="31.5">
      <c r="A1" s="17" t="s">
        <v>0</v>
      </c>
      <c r="B1" s="18" t="s">
        <v>15</v>
      </c>
      <c r="C1" s="17" t="s">
        <v>1</v>
      </c>
      <c r="D1" s="17" t="s">
        <v>16</v>
      </c>
      <c r="E1" s="17" t="s">
        <v>17</v>
      </c>
      <c r="F1" s="17" t="s">
        <v>18</v>
      </c>
      <c r="G1" s="23" t="s">
        <v>19</v>
      </c>
    </row>
    <row r="2" spans="1:10" ht="75" customHeight="1">
      <c r="A2" s="117">
        <v>46099</v>
      </c>
      <c r="B2" s="118" t="s">
        <v>105</v>
      </c>
      <c r="C2" s="135" t="s">
        <v>3</v>
      </c>
      <c r="D2" s="13" t="s">
        <v>106</v>
      </c>
      <c r="E2" s="19" t="s">
        <v>69</v>
      </c>
      <c r="F2" s="19"/>
      <c r="G2" s="20" t="s">
        <v>107</v>
      </c>
    </row>
    <row r="3" spans="1:10" ht="51" customHeight="1">
      <c r="A3" s="117"/>
      <c r="B3" s="118"/>
      <c r="C3" s="135"/>
      <c r="D3" s="13" t="s">
        <v>99</v>
      </c>
      <c r="E3" s="19" t="s">
        <v>69</v>
      </c>
      <c r="F3" s="19"/>
      <c r="G3" s="20" t="s">
        <v>108</v>
      </c>
      <c r="J3">
        <f>3+105-63</f>
        <v>45</v>
      </c>
    </row>
    <row r="4" spans="1:10" ht="46.5" customHeight="1">
      <c r="A4" s="117"/>
      <c r="B4" s="118"/>
      <c r="C4" s="135"/>
      <c r="D4" s="13" t="s">
        <v>100</v>
      </c>
      <c r="E4" s="19" t="s">
        <v>69</v>
      </c>
      <c r="F4" s="19"/>
      <c r="G4" s="20" t="s">
        <v>108</v>
      </c>
    </row>
    <row r="5" spans="1:10" ht="48" customHeight="1">
      <c r="A5" s="117"/>
      <c r="B5" s="118"/>
      <c r="C5" s="135"/>
      <c r="D5" s="13" t="s">
        <v>101</v>
      </c>
      <c r="E5" s="19" t="s">
        <v>69</v>
      </c>
      <c r="F5" s="19"/>
      <c r="G5" s="20" t="s">
        <v>108</v>
      </c>
    </row>
    <row r="6" spans="1:10" ht="48" customHeight="1">
      <c r="A6" s="117"/>
      <c r="B6" s="118"/>
      <c r="C6" s="135"/>
      <c r="D6" s="13" t="s">
        <v>102</v>
      </c>
      <c r="E6" s="19" t="s">
        <v>69</v>
      </c>
      <c r="F6" s="19"/>
      <c r="G6" s="20" t="s">
        <v>108</v>
      </c>
    </row>
    <row r="7" spans="1:10" ht="49.5" customHeight="1">
      <c r="A7" s="117"/>
      <c r="B7" s="118"/>
      <c r="C7" s="135"/>
      <c r="D7" s="13" t="s">
        <v>103</v>
      </c>
      <c r="E7" s="19" t="s">
        <v>69</v>
      </c>
      <c r="F7" s="19"/>
      <c r="G7" s="20" t="s">
        <v>108</v>
      </c>
    </row>
    <row r="8" spans="1:10" ht="48.75" customHeight="1">
      <c r="A8" s="117"/>
      <c r="B8" s="118"/>
      <c r="C8" s="135"/>
      <c r="D8" s="13" t="s">
        <v>104</v>
      </c>
      <c r="E8" s="19" t="s">
        <v>69</v>
      </c>
      <c r="F8" s="19"/>
      <c r="G8" s="20" t="s">
        <v>108</v>
      </c>
    </row>
    <row r="9" spans="1:10" ht="66.75" customHeight="1">
      <c r="A9" s="117"/>
      <c r="B9" s="118"/>
      <c r="C9" s="135" t="s">
        <v>5</v>
      </c>
      <c r="D9" s="13" t="s">
        <v>109</v>
      </c>
      <c r="E9" s="19" t="s">
        <v>110</v>
      </c>
      <c r="F9" s="19"/>
      <c r="G9" s="20"/>
      <c r="J9">
        <f>7+5-6</f>
        <v>6</v>
      </c>
    </row>
    <row r="10" spans="1:10" ht="33.75" customHeight="1">
      <c r="A10" s="117"/>
      <c r="B10" s="118"/>
      <c r="C10" s="135"/>
      <c r="D10" s="13" t="s">
        <v>111</v>
      </c>
      <c r="E10" s="19" t="s">
        <v>112</v>
      </c>
      <c r="F10" s="19"/>
      <c r="G10" s="20"/>
      <c r="J10">
        <f>218+6</f>
        <v>224</v>
      </c>
    </row>
    <row r="11" spans="1:10" ht="33.75" customHeight="1">
      <c r="A11" s="117"/>
      <c r="B11" s="118"/>
      <c r="C11" s="135"/>
      <c r="D11" s="3" t="s">
        <v>113</v>
      </c>
      <c r="E11" s="19" t="s">
        <v>69</v>
      </c>
      <c r="F11" s="19"/>
      <c r="G11" s="20"/>
    </row>
    <row r="12" spans="1:10" ht="33.75" customHeight="1">
      <c r="A12" s="117"/>
      <c r="B12" s="118"/>
      <c r="C12" s="135"/>
      <c r="D12" s="15" t="s">
        <v>114</v>
      </c>
      <c r="E12" s="19" t="s">
        <v>115</v>
      </c>
      <c r="F12" s="19"/>
      <c r="G12" s="20"/>
    </row>
    <row r="13" spans="1:10" ht="210" customHeight="1">
      <c r="A13" s="117"/>
      <c r="B13" s="118"/>
      <c r="C13" s="25" t="s">
        <v>28</v>
      </c>
      <c r="D13" s="13" t="s">
        <v>89</v>
      </c>
      <c r="E13" s="19" t="s">
        <v>69</v>
      </c>
      <c r="F13" s="19" t="s">
        <v>90</v>
      </c>
      <c r="G13" s="9"/>
    </row>
  </sheetData>
  <mergeCells count="4">
    <mergeCell ref="C2:C8"/>
    <mergeCell ref="C9:C12"/>
    <mergeCell ref="B2:B13"/>
    <mergeCell ref="A2:A1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86E9A-D389-4830-821F-35B9397BC134}">
  <dimension ref="A1:G8"/>
  <sheetViews>
    <sheetView workbookViewId="0">
      <selection activeCell="D3" sqref="D3"/>
    </sheetView>
  </sheetViews>
  <sheetFormatPr defaultRowHeight="15"/>
  <cols>
    <col min="1" max="1" width="11.7109375" customWidth="1"/>
    <col min="2" max="2" width="11.5703125" customWidth="1"/>
    <col min="3" max="3" width="12.7109375" customWidth="1"/>
    <col min="4" max="4" width="57.5703125" customWidth="1"/>
    <col min="5" max="5" width="16" customWidth="1"/>
    <col min="6" max="6" width="69.7109375" customWidth="1"/>
    <col min="7" max="7" width="77.42578125" customWidth="1"/>
  </cols>
  <sheetData>
    <row r="1" spans="1:7" ht="15.75">
      <c r="A1" s="17" t="s">
        <v>0</v>
      </c>
      <c r="B1" s="18" t="s">
        <v>15</v>
      </c>
      <c r="C1" s="17" t="s">
        <v>1</v>
      </c>
      <c r="D1" s="17" t="s">
        <v>16</v>
      </c>
      <c r="E1" s="17" t="s">
        <v>17</v>
      </c>
      <c r="F1" s="17" t="s">
        <v>18</v>
      </c>
      <c r="G1" s="23" t="s">
        <v>19</v>
      </c>
    </row>
    <row r="2" spans="1:7" ht="30.75" customHeight="1">
      <c r="A2" s="129">
        <v>46100</v>
      </c>
      <c r="B2" s="132" t="s">
        <v>116</v>
      </c>
      <c r="C2" s="119" t="s">
        <v>3</v>
      </c>
      <c r="D2" s="13" t="s">
        <v>117</v>
      </c>
      <c r="E2" s="19" t="s">
        <v>118</v>
      </c>
      <c r="F2" s="19"/>
      <c r="G2" s="20" t="s">
        <v>119</v>
      </c>
    </row>
    <row r="3" spans="1:7" ht="82.5" customHeight="1">
      <c r="A3" s="130"/>
      <c r="B3" s="133"/>
      <c r="C3" s="121"/>
      <c r="D3" s="20" t="s">
        <v>113</v>
      </c>
      <c r="E3" s="19" t="s">
        <v>69</v>
      </c>
      <c r="F3" s="27"/>
      <c r="G3" s="20" t="s">
        <v>120</v>
      </c>
    </row>
    <row r="4" spans="1:7" ht="42" customHeight="1">
      <c r="A4" s="130"/>
      <c r="B4" s="133"/>
      <c r="C4" s="135" t="s">
        <v>5</v>
      </c>
      <c r="D4" s="13" t="s">
        <v>121</v>
      </c>
      <c r="E4" s="19" t="s">
        <v>122</v>
      </c>
      <c r="F4" s="27" t="s">
        <v>123</v>
      </c>
      <c r="G4" s="20"/>
    </row>
    <row r="5" spans="1:7" ht="42" hidden="1" customHeight="1">
      <c r="A5" s="130"/>
      <c r="B5" s="133"/>
      <c r="C5" s="135"/>
      <c r="D5" s="3"/>
      <c r="E5" s="19" t="s">
        <v>69</v>
      </c>
      <c r="F5" s="19"/>
      <c r="G5" s="20"/>
    </row>
    <row r="6" spans="1:7" ht="42" hidden="1" customHeight="1">
      <c r="A6" s="130"/>
      <c r="B6" s="133"/>
      <c r="C6" s="135"/>
      <c r="D6" s="15"/>
      <c r="E6" s="19" t="s">
        <v>115</v>
      </c>
      <c r="F6" s="19"/>
      <c r="G6" s="20"/>
    </row>
    <row r="7" spans="1:7" ht="63" customHeight="1">
      <c r="A7" s="130"/>
      <c r="B7" s="133"/>
      <c r="C7" s="119" t="s">
        <v>28</v>
      </c>
      <c r="D7" s="13" t="s">
        <v>89</v>
      </c>
      <c r="E7" s="19" t="s">
        <v>69</v>
      </c>
      <c r="F7" s="19" t="s">
        <v>124</v>
      </c>
      <c r="G7" s="9"/>
    </row>
    <row r="8" spans="1:7" ht="30">
      <c r="A8" s="131"/>
      <c r="B8" s="134"/>
      <c r="C8" s="121"/>
      <c r="D8" s="15" t="s">
        <v>114</v>
      </c>
      <c r="E8" s="19" t="s">
        <v>115</v>
      </c>
      <c r="F8" s="27" t="s">
        <v>123</v>
      </c>
      <c r="G8" s="9"/>
    </row>
  </sheetData>
  <mergeCells count="5">
    <mergeCell ref="C4:C6"/>
    <mergeCell ref="C7:C8"/>
    <mergeCell ref="B2:B8"/>
    <mergeCell ref="A2:A8"/>
    <mergeCell ref="C2:C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EA89E-A08B-4C5C-8138-C29FF593DC98}">
  <dimension ref="A1:G8"/>
  <sheetViews>
    <sheetView topLeftCell="C1" workbookViewId="0">
      <selection activeCell="D4" sqref="D4"/>
    </sheetView>
  </sheetViews>
  <sheetFormatPr defaultRowHeight="15"/>
  <cols>
    <col min="1" max="1" width="9.42578125" bestFit="1" customWidth="1"/>
    <col min="2" max="2" width="10.85546875" customWidth="1"/>
    <col min="3" max="3" width="15" customWidth="1"/>
    <col min="4" max="4" width="55.5703125" customWidth="1"/>
    <col min="5" max="5" width="14.7109375" customWidth="1"/>
    <col min="6" max="6" width="86.7109375" customWidth="1"/>
    <col min="7" max="7" width="74.42578125" customWidth="1"/>
  </cols>
  <sheetData>
    <row r="1" spans="1:7" ht="31.5">
      <c r="A1" s="17" t="s">
        <v>0</v>
      </c>
      <c r="B1" s="18" t="s">
        <v>15</v>
      </c>
      <c r="C1" s="17" t="s">
        <v>1</v>
      </c>
      <c r="D1" s="17" t="s">
        <v>16</v>
      </c>
      <c r="E1" s="17" t="s">
        <v>17</v>
      </c>
      <c r="F1" s="17" t="s">
        <v>18</v>
      </c>
      <c r="G1" s="23" t="s">
        <v>19</v>
      </c>
    </row>
    <row r="2" spans="1:7" ht="37.5" customHeight="1">
      <c r="A2" s="129">
        <v>46101</v>
      </c>
      <c r="B2" s="132" t="s">
        <v>125</v>
      </c>
      <c r="C2" s="119" t="s">
        <v>3</v>
      </c>
      <c r="D2" s="13" t="s">
        <v>121</v>
      </c>
      <c r="E2" s="19" t="s">
        <v>122</v>
      </c>
      <c r="F2" s="27"/>
      <c r="G2" s="20" t="s">
        <v>126</v>
      </c>
    </row>
    <row r="3" spans="1:7" ht="45" customHeight="1">
      <c r="A3" s="130"/>
      <c r="B3" s="133"/>
      <c r="C3" s="121"/>
      <c r="D3" s="15" t="s">
        <v>114</v>
      </c>
      <c r="E3" s="19" t="s">
        <v>115</v>
      </c>
      <c r="F3" s="27"/>
      <c r="G3" s="20" t="s">
        <v>127</v>
      </c>
    </row>
    <row r="4" spans="1:7" ht="109.5" customHeight="1">
      <c r="A4" s="130"/>
      <c r="B4" s="133"/>
      <c r="C4" s="119" t="s">
        <v>5</v>
      </c>
      <c r="D4" s="13" t="s">
        <v>128</v>
      </c>
      <c r="E4" s="19" t="s">
        <v>69</v>
      </c>
      <c r="F4" s="29" t="s">
        <v>129</v>
      </c>
      <c r="G4" s="20"/>
    </row>
    <row r="5" spans="1:7" ht="88.5" customHeight="1">
      <c r="A5" s="130"/>
      <c r="B5" s="133"/>
      <c r="C5" s="120"/>
      <c r="D5" s="13" t="s">
        <v>130</v>
      </c>
      <c r="E5" s="19" t="s">
        <v>22</v>
      </c>
      <c r="F5" s="19" t="s">
        <v>131</v>
      </c>
      <c r="G5" s="20"/>
    </row>
    <row r="6" spans="1:7" ht="37.5" customHeight="1">
      <c r="A6" s="130"/>
      <c r="B6" s="133"/>
      <c r="C6" s="120"/>
      <c r="D6" s="15" t="s">
        <v>132</v>
      </c>
      <c r="E6" s="19" t="s">
        <v>133</v>
      </c>
      <c r="F6" s="19"/>
      <c r="G6" s="20"/>
    </row>
    <row r="7" spans="1:7" ht="37.5" customHeight="1">
      <c r="A7" s="130"/>
      <c r="B7" s="133"/>
      <c r="C7" s="121"/>
      <c r="D7" s="13" t="s">
        <v>134</v>
      </c>
      <c r="E7" s="19" t="s">
        <v>133</v>
      </c>
      <c r="F7" s="19"/>
      <c r="G7" s="20"/>
    </row>
    <row r="8" spans="1:7" ht="39" customHeight="1">
      <c r="A8" s="131"/>
      <c r="B8" s="134"/>
      <c r="C8" s="25" t="s">
        <v>28</v>
      </c>
      <c r="D8" s="13" t="s">
        <v>89</v>
      </c>
      <c r="E8" s="19" t="s">
        <v>69</v>
      </c>
      <c r="F8" s="19" t="s">
        <v>124</v>
      </c>
      <c r="G8" s="9"/>
    </row>
  </sheetData>
  <mergeCells count="4">
    <mergeCell ref="A2:A8"/>
    <mergeCell ref="B2:B8"/>
    <mergeCell ref="C2:C3"/>
    <mergeCell ref="C4:C7"/>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D9584-FEB2-419C-B554-8DC50F42935D}">
  <dimension ref="A1:G7"/>
  <sheetViews>
    <sheetView workbookViewId="0">
      <selection activeCell="D2" sqref="D2"/>
    </sheetView>
  </sheetViews>
  <sheetFormatPr defaultRowHeight="15"/>
  <cols>
    <col min="1" max="1" width="11.140625" customWidth="1"/>
    <col min="2" max="2" width="12.42578125" customWidth="1"/>
    <col min="3" max="3" width="14" customWidth="1"/>
    <col min="4" max="4" width="46.42578125" customWidth="1"/>
    <col min="5" max="5" width="13.42578125" customWidth="1"/>
    <col min="6" max="6" width="85.85546875" customWidth="1"/>
    <col min="7" max="7" width="67.28515625" customWidth="1"/>
  </cols>
  <sheetData>
    <row r="1" spans="1:7" ht="15.75">
      <c r="A1" s="17" t="s">
        <v>0</v>
      </c>
      <c r="B1" s="18" t="s">
        <v>15</v>
      </c>
      <c r="C1" s="17" t="s">
        <v>1</v>
      </c>
      <c r="D1" s="17" t="s">
        <v>16</v>
      </c>
      <c r="E1" s="17" t="s">
        <v>17</v>
      </c>
      <c r="F1" s="17" t="s">
        <v>18</v>
      </c>
      <c r="G1" s="23" t="s">
        <v>19</v>
      </c>
    </row>
    <row r="2" spans="1:7" ht="105.75" customHeight="1">
      <c r="A2" s="117">
        <v>46104</v>
      </c>
      <c r="B2" s="118" t="s">
        <v>135</v>
      </c>
      <c r="C2" s="119" t="s">
        <v>3</v>
      </c>
      <c r="D2" s="13" t="s">
        <v>130</v>
      </c>
      <c r="E2" s="19" t="s">
        <v>22</v>
      </c>
      <c r="F2" s="19"/>
      <c r="G2" s="20" t="s">
        <v>136</v>
      </c>
    </row>
    <row r="3" spans="1:7" ht="145.5" customHeight="1">
      <c r="A3" s="117"/>
      <c r="B3" s="118"/>
      <c r="C3" s="120"/>
      <c r="D3" s="13" t="s">
        <v>128</v>
      </c>
      <c r="E3" s="19" t="s">
        <v>69</v>
      </c>
      <c r="F3" s="29"/>
      <c r="G3" s="20" t="s">
        <v>137</v>
      </c>
    </row>
    <row r="4" spans="1:7" ht="39" customHeight="1">
      <c r="A4" s="117"/>
      <c r="B4" s="118"/>
      <c r="C4" s="120"/>
      <c r="D4" s="13" t="s">
        <v>138</v>
      </c>
      <c r="E4" s="19" t="s">
        <v>139</v>
      </c>
      <c r="F4" s="29"/>
      <c r="G4" s="20" t="s">
        <v>140</v>
      </c>
    </row>
    <row r="5" spans="1:7" ht="45" customHeight="1">
      <c r="A5" s="117"/>
      <c r="B5" s="118"/>
      <c r="C5" s="121"/>
      <c r="D5" s="13" t="s">
        <v>141</v>
      </c>
      <c r="E5" s="19" t="s">
        <v>142</v>
      </c>
      <c r="F5" s="29"/>
      <c r="G5" s="20" t="s">
        <v>143</v>
      </c>
    </row>
    <row r="6" spans="1:7" ht="45" customHeight="1">
      <c r="A6" s="117"/>
      <c r="B6" s="118"/>
      <c r="C6" s="28" t="s">
        <v>24</v>
      </c>
      <c r="D6" s="13" t="s">
        <v>144</v>
      </c>
      <c r="E6" s="19" t="s">
        <v>145</v>
      </c>
      <c r="F6" s="29"/>
      <c r="G6" s="20"/>
    </row>
    <row r="7" spans="1:7" ht="51.75" customHeight="1">
      <c r="A7" s="117"/>
      <c r="B7" s="118"/>
      <c r="C7" s="25" t="s">
        <v>28</v>
      </c>
      <c r="D7" s="13" t="s">
        <v>89</v>
      </c>
      <c r="E7" s="19" t="s">
        <v>69</v>
      </c>
      <c r="F7" s="19" t="s">
        <v>124</v>
      </c>
      <c r="G7" s="9"/>
    </row>
  </sheetData>
  <mergeCells count="3">
    <mergeCell ref="B2:B7"/>
    <mergeCell ref="A2:A7"/>
    <mergeCell ref="C2:C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AA163-2DE5-4CA5-BB29-221D3747AB2B}">
  <dimension ref="A1:G4"/>
  <sheetViews>
    <sheetView workbookViewId="0">
      <selection activeCell="D4" sqref="D4"/>
    </sheetView>
  </sheetViews>
  <sheetFormatPr defaultRowHeight="15"/>
  <cols>
    <col min="1" max="1" width="10.140625" customWidth="1"/>
    <col min="2" max="2" width="11.140625" customWidth="1"/>
    <col min="3" max="3" width="14.85546875" customWidth="1"/>
    <col min="4" max="4" width="75.5703125" customWidth="1"/>
    <col min="5" max="5" width="12.85546875" customWidth="1"/>
    <col min="6" max="6" width="69" customWidth="1"/>
    <col min="7" max="7" width="73.85546875" customWidth="1"/>
  </cols>
  <sheetData>
    <row r="1" spans="1:7" ht="31.5">
      <c r="A1" s="17" t="s">
        <v>0</v>
      </c>
      <c r="B1" s="18" t="s">
        <v>15</v>
      </c>
      <c r="C1" s="17" t="s">
        <v>1</v>
      </c>
      <c r="D1" s="17" t="s">
        <v>16</v>
      </c>
      <c r="E1" s="17" t="s">
        <v>17</v>
      </c>
      <c r="F1" s="17" t="s">
        <v>18</v>
      </c>
      <c r="G1" s="23" t="s">
        <v>19</v>
      </c>
    </row>
    <row r="2" spans="1:7" ht="49.5" customHeight="1">
      <c r="A2" s="117">
        <v>46105</v>
      </c>
      <c r="B2" s="118" t="s">
        <v>146</v>
      </c>
      <c r="C2" s="30" t="s">
        <v>3</v>
      </c>
      <c r="D2" s="13"/>
      <c r="E2" s="19"/>
      <c r="F2" s="19"/>
      <c r="G2" s="20"/>
    </row>
    <row r="3" spans="1:7" ht="48.75" customHeight="1">
      <c r="A3" s="117"/>
      <c r="B3" s="118"/>
      <c r="C3" s="25" t="s">
        <v>24</v>
      </c>
      <c r="D3" s="13"/>
      <c r="E3" s="19"/>
      <c r="F3" s="29"/>
      <c r="G3" s="20"/>
    </row>
    <row r="4" spans="1:7" ht="48.75" customHeight="1">
      <c r="A4" s="117"/>
      <c r="B4" s="118"/>
      <c r="C4" s="25" t="s">
        <v>28</v>
      </c>
      <c r="D4" s="13" t="s">
        <v>89</v>
      </c>
      <c r="E4" s="19" t="s">
        <v>69</v>
      </c>
      <c r="F4" s="19" t="s">
        <v>124</v>
      </c>
      <c r="G4" s="9"/>
    </row>
  </sheetData>
  <mergeCells count="2">
    <mergeCell ref="A2:A4"/>
    <mergeCell ref="B2:B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71999-339B-4C93-A4F2-00BC9A1F3169}">
  <dimension ref="A1:G10"/>
  <sheetViews>
    <sheetView workbookViewId="0">
      <selection activeCell="D5" sqref="D5"/>
    </sheetView>
  </sheetViews>
  <sheetFormatPr defaultRowHeight="15"/>
  <cols>
    <col min="1" max="1" width="9.42578125" bestFit="1" customWidth="1"/>
    <col min="2" max="2" width="11.42578125" customWidth="1"/>
    <col min="3" max="3" width="13.42578125" customWidth="1"/>
    <col min="4" max="4" width="63" customWidth="1"/>
    <col min="5" max="5" width="15" customWidth="1"/>
    <col min="6" max="6" width="71.5703125" customWidth="1"/>
    <col min="7" max="7" width="73.28515625" customWidth="1"/>
  </cols>
  <sheetData>
    <row r="1" spans="1:7" ht="15.75">
      <c r="A1" s="17" t="s">
        <v>0</v>
      </c>
      <c r="B1" s="18" t="s">
        <v>15</v>
      </c>
      <c r="C1" s="17" t="s">
        <v>1</v>
      </c>
      <c r="D1" s="17" t="s">
        <v>16</v>
      </c>
      <c r="E1" s="17" t="s">
        <v>17</v>
      </c>
      <c r="F1" s="17" t="s">
        <v>18</v>
      </c>
      <c r="G1" s="23" t="s">
        <v>19</v>
      </c>
    </row>
    <row r="2" spans="1:7" ht="48" customHeight="1">
      <c r="A2" s="117">
        <v>46106</v>
      </c>
      <c r="B2" s="118" t="s">
        <v>147</v>
      </c>
      <c r="C2" s="119" t="s">
        <v>3</v>
      </c>
      <c r="D2" s="13" t="s">
        <v>148</v>
      </c>
      <c r="E2" s="19" t="s">
        <v>69</v>
      </c>
      <c r="F2" s="19"/>
      <c r="G2" s="20" t="s">
        <v>149</v>
      </c>
    </row>
    <row r="3" spans="1:7" ht="48" customHeight="1">
      <c r="A3" s="117"/>
      <c r="B3" s="118"/>
      <c r="C3" s="120"/>
      <c r="D3" s="13" t="s">
        <v>150</v>
      </c>
      <c r="E3" s="19" t="s">
        <v>69</v>
      </c>
      <c r="F3" s="29"/>
      <c r="G3" s="20" t="s">
        <v>149</v>
      </c>
    </row>
    <row r="4" spans="1:7" ht="48" customHeight="1">
      <c r="A4" s="117"/>
      <c r="B4" s="118"/>
      <c r="C4" s="121"/>
      <c r="D4" s="13" t="s">
        <v>151</v>
      </c>
      <c r="E4" s="19" t="s">
        <v>69</v>
      </c>
      <c r="F4" s="29"/>
      <c r="G4" s="20" t="s">
        <v>149</v>
      </c>
    </row>
    <row r="5" spans="1:7" ht="47.25" customHeight="1">
      <c r="A5" s="117"/>
      <c r="B5" s="118"/>
      <c r="C5" s="119" t="s">
        <v>24</v>
      </c>
      <c r="D5" s="13" t="s">
        <v>148</v>
      </c>
      <c r="E5" s="19" t="s">
        <v>69</v>
      </c>
      <c r="F5" s="20" t="s">
        <v>149</v>
      </c>
      <c r="G5" s="20"/>
    </row>
    <row r="6" spans="1:7" ht="47.25" customHeight="1">
      <c r="A6" s="117"/>
      <c r="B6" s="118"/>
      <c r="C6" s="120"/>
      <c r="D6" s="13" t="s">
        <v>150</v>
      </c>
      <c r="E6" s="19" t="s">
        <v>69</v>
      </c>
      <c r="F6" s="20" t="s">
        <v>149</v>
      </c>
      <c r="G6" s="20"/>
    </row>
    <row r="7" spans="1:7" ht="47.25" customHeight="1">
      <c r="A7" s="117"/>
      <c r="B7" s="118"/>
      <c r="C7" s="121"/>
      <c r="D7" s="13" t="s">
        <v>151</v>
      </c>
      <c r="E7" s="19" t="s">
        <v>69</v>
      </c>
      <c r="F7" s="20" t="s">
        <v>149</v>
      </c>
      <c r="G7" s="20"/>
    </row>
    <row r="8" spans="1:7" ht="93.75" customHeight="1">
      <c r="A8" s="117"/>
      <c r="B8" s="118"/>
      <c r="C8" s="119" t="s">
        <v>28</v>
      </c>
      <c r="D8" s="13" t="s">
        <v>152</v>
      </c>
      <c r="E8" s="19" t="s">
        <v>22</v>
      </c>
      <c r="F8" s="19" t="s">
        <v>153</v>
      </c>
      <c r="G8" s="20" t="s">
        <v>154</v>
      </c>
    </row>
    <row r="9" spans="1:7" ht="45" customHeight="1">
      <c r="A9" s="117"/>
      <c r="B9" s="118"/>
      <c r="C9" s="121"/>
      <c r="D9" s="13" t="s">
        <v>89</v>
      </c>
      <c r="E9" s="19" t="s">
        <v>69</v>
      </c>
      <c r="F9" s="19" t="s">
        <v>155</v>
      </c>
      <c r="G9" s="9"/>
    </row>
    <row r="10" spans="1:7">
      <c r="F10" t="s">
        <v>156</v>
      </c>
    </row>
  </sheetData>
  <mergeCells count="5">
    <mergeCell ref="A2:A9"/>
    <mergeCell ref="B2:B9"/>
    <mergeCell ref="C5:C7"/>
    <mergeCell ref="C8:C9"/>
    <mergeCell ref="C2:C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A0C73-DDAD-489C-9D44-4FBBA543794B}">
  <dimension ref="A1:G5"/>
  <sheetViews>
    <sheetView workbookViewId="0">
      <selection activeCell="D4" sqref="D4"/>
    </sheetView>
  </sheetViews>
  <sheetFormatPr defaultRowHeight="15"/>
  <cols>
    <col min="1" max="1" width="9.5703125" customWidth="1"/>
    <col min="2" max="2" width="12.42578125" customWidth="1"/>
    <col min="3" max="3" width="15.28515625" customWidth="1"/>
    <col min="4" max="4" width="72.7109375" customWidth="1"/>
    <col min="5" max="5" width="14.42578125" customWidth="1"/>
    <col min="6" max="7" width="70.5703125" customWidth="1"/>
  </cols>
  <sheetData>
    <row r="1" spans="1:7" ht="15.75">
      <c r="A1" s="17" t="s">
        <v>0</v>
      </c>
      <c r="B1" s="18" t="s">
        <v>15</v>
      </c>
      <c r="C1" s="17" t="s">
        <v>1</v>
      </c>
      <c r="D1" s="17" t="s">
        <v>16</v>
      </c>
      <c r="E1" s="17" t="s">
        <v>17</v>
      </c>
      <c r="F1" s="17" t="s">
        <v>18</v>
      </c>
      <c r="G1" s="23" t="s">
        <v>19</v>
      </c>
    </row>
    <row r="2" spans="1:7" ht="25.5" customHeight="1">
      <c r="A2" s="117">
        <v>46107</v>
      </c>
      <c r="B2" s="118" t="s">
        <v>20</v>
      </c>
      <c r="C2" s="30" t="s">
        <v>3</v>
      </c>
      <c r="D2" s="13"/>
      <c r="E2" s="19"/>
      <c r="F2" s="19"/>
      <c r="G2" s="20"/>
    </row>
    <row r="3" spans="1:7" ht="29.25" customHeight="1">
      <c r="A3" s="117"/>
      <c r="B3" s="118"/>
      <c r="C3" s="30" t="s">
        <v>24</v>
      </c>
      <c r="D3" s="13" t="s">
        <v>157</v>
      </c>
      <c r="E3" s="19" t="s">
        <v>112</v>
      </c>
      <c r="F3" s="19" t="s">
        <v>158</v>
      </c>
      <c r="G3" s="20"/>
    </row>
    <row r="4" spans="1:7" ht="106.5" customHeight="1">
      <c r="A4" s="117"/>
      <c r="B4" s="118"/>
      <c r="C4" s="119" t="s">
        <v>28</v>
      </c>
      <c r="D4" s="13" t="s">
        <v>152</v>
      </c>
      <c r="E4" s="19" t="s">
        <v>22</v>
      </c>
      <c r="F4" s="19" t="s">
        <v>153</v>
      </c>
      <c r="G4" s="20" t="s">
        <v>159</v>
      </c>
    </row>
    <row r="5" spans="1:7" ht="42" customHeight="1">
      <c r="A5" s="117"/>
      <c r="B5" s="118"/>
      <c r="C5" s="121"/>
      <c r="D5" s="13" t="s">
        <v>89</v>
      </c>
      <c r="E5" s="19" t="s">
        <v>69</v>
      </c>
      <c r="F5" s="19" t="s">
        <v>155</v>
      </c>
      <c r="G5" s="9"/>
    </row>
  </sheetData>
  <mergeCells count="3">
    <mergeCell ref="A2:A5"/>
    <mergeCell ref="B2:B5"/>
    <mergeCell ref="C4:C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D245B-F5F5-4758-BA58-51AB06566828}">
  <dimension ref="A1:G5"/>
  <sheetViews>
    <sheetView workbookViewId="0">
      <selection activeCell="D2" sqref="D2"/>
    </sheetView>
  </sheetViews>
  <sheetFormatPr defaultRowHeight="15"/>
  <cols>
    <col min="1" max="1" width="11" customWidth="1"/>
    <col min="2" max="2" width="12" customWidth="1"/>
    <col min="3" max="3" width="14.140625" customWidth="1"/>
    <col min="4" max="4" width="56.140625" customWidth="1"/>
    <col min="5" max="5" width="14.42578125" customWidth="1"/>
    <col min="6" max="6" width="76.28515625" customWidth="1"/>
    <col min="7" max="7" width="82" customWidth="1"/>
  </cols>
  <sheetData>
    <row r="1" spans="1:7" ht="15.75">
      <c r="A1" s="17" t="s">
        <v>0</v>
      </c>
      <c r="B1" s="18" t="s">
        <v>15</v>
      </c>
      <c r="C1" s="17" t="s">
        <v>1</v>
      </c>
      <c r="D1" s="17" t="s">
        <v>16</v>
      </c>
      <c r="E1" s="17" t="s">
        <v>17</v>
      </c>
      <c r="F1" s="17" t="s">
        <v>18</v>
      </c>
      <c r="G1" s="23" t="s">
        <v>19</v>
      </c>
    </row>
    <row r="2" spans="1:7" ht="126.75" customHeight="1">
      <c r="A2" s="117">
        <v>46108</v>
      </c>
      <c r="B2" s="118" t="s">
        <v>147</v>
      </c>
      <c r="C2" s="25" t="s">
        <v>3</v>
      </c>
      <c r="D2" s="13" t="s">
        <v>152</v>
      </c>
      <c r="E2" s="19" t="s">
        <v>22</v>
      </c>
      <c r="F2" s="19" t="s">
        <v>153</v>
      </c>
      <c r="G2" s="20" t="s">
        <v>160</v>
      </c>
    </row>
    <row r="3" spans="1:7" ht="42" hidden="1" customHeight="1">
      <c r="A3" s="117"/>
      <c r="B3" s="118"/>
      <c r="C3" s="25" t="s">
        <v>24</v>
      </c>
      <c r="D3" s="13"/>
      <c r="E3" s="19"/>
      <c r="F3" s="19"/>
      <c r="G3" s="20"/>
    </row>
    <row r="4" spans="1:7" ht="30.75" customHeight="1">
      <c r="A4" s="117"/>
      <c r="B4" s="118"/>
      <c r="C4" s="135" t="s">
        <v>28</v>
      </c>
      <c r="D4" s="13" t="s">
        <v>89</v>
      </c>
      <c r="E4" s="19" t="s">
        <v>69</v>
      </c>
      <c r="F4" s="19" t="s">
        <v>155</v>
      </c>
      <c r="G4" s="9"/>
    </row>
    <row r="5" spans="1:7" ht="30.75" customHeight="1">
      <c r="A5" s="117"/>
      <c r="B5" s="118"/>
      <c r="C5" s="135"/>
      <c r="D5" s="13" t="s">
        <v>157</v>
      </c>
      <c r="E5" s="19" t="s">
        <v>112</v>
      </c>
      <c r="F5" s="19" t="s">
        <v>158</v>
      </c>
      <c r="G5" s="9"/>
    </row>
  </sheetData>
  <mergeCells count="3">
    <mergeCell ref="A2:A5"/>
    <mergeCell ref="B2:B5"/>
    <mergeCell ref="C4:C5"/>
  </mergeCells>
  <pageMargins left="0.7" right="0.7" top="0.75" bottom="0.75" header="0.3" footer="0.3"/>
  <pageSetup orientation="portrait" horizontalDpi="0"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DB3AE-F5AC-4B01-97D2-9EA2FA75B3DD}">
  <dimension ref="A1:G4"/>
  <sheetViews>
    <sheetView workbookViewId="0">
      <selection activeCell="D26" sqref="D26"/>
    </sheetView>
  </sheetViews>
  <sheetFormatPr defaultRowHeight="15"/>
  <cols>
    <col min="1" max="1" width="9.42578125" bestFit="1" customWidth="1"/>
    <col min="2" max="2" width="12.5703125" customWidth="1"/>
    <col min="3" max="3" width="14.85546875" customWidth="1"/>
    <col min="4" max="4" width="57.28515625" customWidth="1"/>
    <col min="5" max="5" width="14.28515625" customWidth="1"/>
    <col min="6" max="7" width="55.42578125" customWidth="1"/>
  </cols>
  <sheetData>
    <row r="1" spans="1:7" ht="15.75">
      <c r="A1" s="17" t="s">
        <v>0</v>
      </c>
      <c r="B1" s="18" t="s">
        <v>15</v>
      </c>
      <c r="C1" s="17" t="s">
        <v>1</v>
      </c>
      <c r="D1" s="17" t="s">
        <v>16</v>
      </c>
      <c r="E1" s="17" t="s">
        <v>17</v>
      </c>
      <c r="F1" s="17" t="s">
        <v>18</v>
      </c>
      <c r="G1" s="23" t="s">
        <v>19</v>
      </c>
    </row>
    <row r="2" spans="1:7" ht="47.25" customHeight="1">
      <c r="A2" s="129">
        <v>46111</v>
      </c>
      <c r="B2" s="132" t="s">
        <v>20</v>
      </c>
      <c r="C2" s="25" t="s">
        <v>24</v>
      </c>
      <c r="D2" s="13" t="s">
        <v>161</v>
      </c>
      <c r="E2" s="19" t="s">
        <v>88</v>
      </c>
      <c r="F2" s="19" t="s">
        <v>162</v>
      </c>
      <c r="G2" s="20"/>
    </row>
    <row r="3" spans="1:7" ht="48.75" customHeight="1">
      <c r="A3" s="130"/>
      <c r="B3" s="133"/>
      <c r="C3" s="135" t="s">
        <v>28</v>
      </c>
      <c r="D3" s="13" t="s">
        <v>89</v>
      </c>
      <c r="E3" s="19" t="s">
        <v>69</v>
      </c>
      <c r="F3" s="19" t="s">
        <v>155</v>
      </c>
      <c r="G3" s="9"/>
    </row>
    <row r="4" spans="1:7" ht="48.75" customHeight="1">
      <c r="A4" s="131"/>
      <c r="B4" s="134"/>
      <c r="C4" s="135"/>
      <c r="D4" s="13" t="s">
        <v>157</v>
      </c>
      <c r="E4" s="19" t="s">
        <v>112</v>
      </c>
      <c r="F4" s="19" t="s">
        <v>158</v>
      </c>
      <c r="G4" s="9"/>
    </row>
  </sheetData>
  <mergeCells count="3">
    <mergeCell ref="A2:A4"/>
    <mergeCell ref="B2:B4"/>
    <mergeCell ref="C3:C4"/>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FEF10-DD9B-4B64-B78A-122D68EA16D5}">
  <dimension ref="A1:G5"/>
  <sheetViews>
    <sheetView workbookViewId="0">
      <selection activeCell="D21" sqref="D21"/>
    </sheetView>
  </sheetViews>
  <sheetFormatPr defaultRowHeight="15"/>
  <cols>
    <col min="1" max="2" width="10.7109375" customWidth="1"/>
    <col min="3" max="3" width="14.42578125" customWidth="1"/>
    <col min="4" max="4" width="73.7109375" customWidth="1"/>
    <col min="5" max="5" width="13.140625" customWidth="1"/>
    <col min="6" max="6" width="59" customWidth="1"/>
    <col min="7" max="7" width="56.85546875" customWidth="1"/>
  </cols>
  <sheetData>
    <row r="1" spans="1:7" ht="31.5">
      <c r="A1" s="17" t="s">
        <v>0</v>
      </c>
      <c r="B1" s="18" t="s">
        <v>15</v>
      </c>
      <c r="C1" s="17" t="s">
        <v>1</v>
      </c>
      <c r="D1" s="17" t="s">
        <v>16</v>
      </c>
      <c r="E1" s="17" t="s">
        <v>17</v>
      </c>
      <c r="F1" s="17" t="s">
        <v>18</v>
      </c>
      <c r="G1" s="23" t="s">
        <v>19</v>
      </c>
    </row>
    <row r="2" spans="1:7" ht="42" hidden="1" customHeight="1">
      <c r="A2" s="129">
        <v>46112</v>
      </c>
      <c r="B2" s="132" t="s">
        <v>20</v>
      </c>
      <c r="C2" s="25" t="s">
        <v>24</v>
      </c>
      <c r="D2" s="13"/>
      <c r="E2" s="19"/>
      <c r="F2" s="19"/>
      <c r="G2" s="20"/>
    </row>
    <row r="3" spans="1:7" ht="32.25" customHeight="1">
      <c r="A3" s="130"/>
      <c r="B3" s="133"/>
      <c r="C3" s="135" t="s">
        <v>28</v>
      </c>
      <c r="D3" s="13" t="s">
        <v>89</v>
      </c>
      <c r="E3" s="19" t="s">
        <v>69</v>
      </c>
      <c r="F3" s="19" t="s">
        <v>155</v>
      </c>
      <c r="G3" s="9"/>
    </row>
    <row r="4" spans="1:7" ht="44.25" customHeight="1">
      <c r="A4" s="130"/>
      <c r="B4" s="133"/>
      <c r="C4" s="135"/>
      <c r="D4" s="13" t="s">
        <v>161</v>
      </c>
      <c r="E4" s="19" t="s">
        <v>88</v>
      </c>
      <c r="F4" s="19" t="s">
        <v>162</v>
      </c>
      <c r="G4" s="9"/>
    </row>
    <row r="5" spans="1:7" ht="32.25" customHeight="1">
      <c r="A5" s="131"/>
      <c r="B5" s="134"/>
      <c r="C5" s="135"/>
      <c r="D5" s="13" t="s">
        <v>157</v>
      </c>
      <c r="E5" s="19" t="s">
        <v>112</v>
      </c>
      <c r="F5" s="19" t="s">
        <v>158</v>
      </c>
      <c r="G5" s="9"/>
    </row>
  </sheetData>
  <mergeCells count="3">
    <mergeCell ref="A2:A5"/>
    <mergeCell ref="B2:B5"/>
    <mergeCell ref="C3:C5"/>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6BAEF-B8DE-4FC5-8B05-C74915613CB9}">
  <dimension ref="A1:G8"/>
  <sheetViews>
    <sheetView workbookViewId="0">
      <selection activeCell="D3" sqref="D3"/>
    </sheetView>
  </sheetViews>
  <sheetFormatPr defaultRowHeight="15"/>
  <cols>
    <col min="1" max="1" width="10.5703125" customWidth="1"/>
    <col min="2" max="2" width="13.28515625" customWidth="1"/>
    <col min="3" max="3" width="13.5703125" customWidth="1"/>
    <col min="4" max="4" width="74.42578125" customWidth="1"/>
    <col min="5" max="5" width="17.5703125" customWidth="1"/>
    <col min="6" max="7" width="63.85546875" customWidth="1"/>
  </cols>
  <sheetData>
    <row r="1" spans="1:7" ht="15.75">
      <c r="A1" s="17" t="s">
        <v>0</v>
      </c>
      <c r="B1" s="18" t="s">
        <v>15</v>
      </c>
      <c r="C1" s="17" t="s">
        <v>1</v>
      </c>
      <c r="D1" s="17" t="s">
        <v>16</v>
      </c>
      <c r="E1" s="17" t="s">
        <v>17</v>
      </c>
      <c r="F1" s="17" t="s">
        <v>18</v>
      </c>
      <c r="G1" s="23" t="s">
        <v>19</v>
      </c>
    </row>
    <row r="2" spans="1:7" ht="51" customHeight="1">
      <c r="A2" s="129">
        <v>46113</v>
      </c>
      <c r="B2" s="132" t="s">
        <v>163</v>
      </c>
      <c r="C2" s="119" t="s">
        <v>3</v>
      </c>
      <c r="D2" s="13" t="s">
        <v>164</v>
      </c>
      <c r="E2" s="19" t="s">
        <v>165</v>
      </c>
      <c r="F2" s="19"/>
      <c r="G2" s="20" t="s">
        <v>166</v>
      </c>
    </row>
    <row r="3" spans="1:7" ht="153.75" customHeight="1">
      <c r="A3" s="130"/>
      <c r="B3" s="133"/>
      <c r="C3" s="121"/>
      <c r="D3" s="13" t="s">
        <v>161</v>
      </c>
      <c r="E3" s="39" t="s">
        <v>167</v>
      </c>
      <c r="F3" s="19"/>
      <c r="G3" s="20" t="s">
        <v>168</v>
      </c>
    </row>
    <row r="4" spans="1:7" ht="51" customHeight="1">
      <c r="A4" s="130"/>
      <c r="B4" s="133"/>
      <c r="C4" s="119" t="s">
        <v>5</v>
      </c>
      <c r="D4" s="13" t="s">
        <v>169</v>
      </c>
      <c r="E4" s="19" t="s">
        <v>69</v>
      </c>
      <c r="F4" s="19" t="s">
        <v>162</v>
      </c>
      <c r="G4" s="20"/>
    </row>
    <row r="5" spans="1:7" ht="51" customHeight="1">
      <c r="A5" s="130"/>
      <c r="B5" s="133"/>
      <c r="C5" s="120"/>
      <c r="D5" s="13" t="s">
        <v>170</v>
      </c>
      <c r="E5" s="19" t="s">
        <v>122</v>
      </c>
      <c r="F5" s="19" t="s">
        <v>162</v>
      </c>
      <c r="G5" s="20"/>
    </row>
    <row r="6" spans="1:7" ht="51" customHeight="1">
      <c r="A6" s="130"/>
      <c r="B6" s="133"/>
      <c r="C6" s="121"/>
      <c r="D6" s="13" t="s">
        <v>171</v>
      </c>
      <c r="E6" s="19" t="s">
        <v>122</v>
      </c>
      <c r="F6" s="19" t="s">
        <v>162</v>
      </c>
      <c r="G6" s="20"/>
    </row>
    <row r="7" spans="1:7" ht="51" customHeight="1">
      <c r="A7" s="130"/>
      <c r="B7" s="133"/>
      <c r="C7" s="135" t="s">
        <v>28</v>
      </c>
      <c r="D7" s="13" t="s">
        <v>89</v>
      </c>
      <c r="E7" s="19" t="s">
        <v>69</v>
      </c>
      <c r="F7" s="19" t="s">
        <v>155</v>
      </c>
      <c r="G7" s="9"/>
    </row>
    <row r="8" spans="1:7" ht="51" customHeight="1">
      <c r="A8" s="131"/>
      <c r="B8" s="134"/>
      <c r="C8" s="135"/>
      <c r="D8" s="13" t="s">
        <v>157</v>
      </c>
      <c r="E8" s="19" t="s">
        <v>112</v>
      </c>
      <c r="F8" s="19" t="s">
        <v>158</v>
      </c>
      <c r="G8" s="9"/>
    </row>
  </sheetData>
  <mergeCells count="5">
    <mergeCell ref="A2:A8"/>
    <mergeCell ref="B2:B8"/>
    <mergeCell ref="C7:C8"/>
    <mergeCell ref="C4:C6"/>
    <mergeCell ref="C2:C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35C40-E79D-410D-861F-ED4291FCFC4F}">
  <dimension ref="A1:G6"/>
  <sheetViews>
    <sheetView workbookViewId="0">
      <selection activeCell="D5" sqref="D5"/>
    </sheetView>
  </sheetViews>
  <sheetFormatPr defaultRowHeight="15"/>
  <cols>
    <col min="1" max="1" width="10.42578125" customWidth="1"/>
    <col min="2" max="2" width="13.42578125" customWidth="1"/>
    <col min="3" max="3" width="13.85546875" customWidth="1"/>
    <col min="4" max="4" width="76" customWidth="1"/>
    <col min="5" max="5" width="16.7109375" customWidth="1"/>
    <col min="6" max="6" width="59.85546875" customWidth="1"/>
    <col min="7" max="7" width="70.42578125" customWidth="1"/>
  </cols>
  <sheetData>
    <row r="1" spans="1:7" ht="15.75">
      <c r="A1" s="17" t="s">
        <v>0</v>
      </c>
      <c r="B1" s="18" t="s">
        <v>15</v>
      </c>
      <c r="C1" s="17" t="s">
        <v>1</v>
      </c>
      <c r="D1" s="17" t="s">
        <v>16</v>
      </c>
      <c r="E1" s="17" t="s">
        <v>17</v>
      </c>
      <c r="F1" s="17" t="s">
        <v>18</v>
      </c>
      <c r="G1" s="23" t="s">
        <v>19</v>
      </c>
    </row>
    <row r="2" spans="1:7" ht="50.25" customHeight="1">
      <c r="A2" s="117">
        <v>46114</v>
      </c>
      <c r="B2" s="118" t="s">
        <v>163</v>
      </c>
      <c r="C2" s="135" t="s">
        <v>3</v>
      </c>
      <c r="D2" s="13" t="s">
        <v>170</v>
      </c>
      <c r="E2" s="19" t="s">
        <v>172</v>
      </c>
      <c r="F2" s="19"/>
      <c r="G2" s="20" t="s">
        <v>173</v>
      </c>
    </row>
    <row r="3" spans="1:7" ht="40.5" customHeight="1">
      <c r="A3" s="117"/>
      <c r="B3" s="118"/>
      <c r="C3" s="135"/>
      <c r="D3" s="13" t="s">
        <v>171</v>
      </c>
      <c r="E3" s="19" t="s">
        <v>172</v>
      </c>
      <c r="F3" s="19"/>
      <c r="G3" s="20" t="s">
        <v>173</v>
      </c>
    </row>
    <row r="4" spans="1:7" ht="44.25" customHeight="1">
      <c r="A4" s="117"/>
      <c r="B4" s="118"/>
      <c r="C4" s="135" t="s">
        <v>28</v>
      </c>
      <c r="D4" s="13" t="s">
        <v>89</v>
      </c>
      <c r="E4" s="19" t="s">
        <v>174</v>
      </c>
      <c r="F4" s="19" t="s">
        <v>155</v>
      </c>
      <c r="G4" s="9"/>
    </row>
    <row r="5" spans="1:7" ht="44.25" customHeight="1">
      <c r="A5" s="117"/>
      <c r="B5" s="118"/>
      <c r="C5" s="135"/>
      <c r="D5" s="13" t="s">
        <v>157</v>
      </c>
      <c r="E5" s="19" t="s">
        <v>175</v>
      </c>
      <c r="F5" s="19" t="s">
        <v>158</v>
      </c>
      <c r="G5" s="9"/>
    </row>
    <row r="6" spans="1:7" ht="28.5">
      <c r="A6" s="117"/>
      <c r="B6" s="118"/>
      <c r="C6" s="135"/>
      <c r="D6" s="13" t="s">
        <v>169</v>
      </c>
      <c r="E6" s="29" t="s">
        <v>174</v>
      </c>
      <c r="F6" s="19" t="s">
        <v>162</v>
      </c>
      <c r="G6" s="9"/>
    </row>
  </sheetData>
  <mergeCells count="4">
    <mergeCell ref="C2:C3"/>
    <mergeCell ref="C4:C6"/>
    <mergeCell ref="B2:B6"/>
    <mergeCell ref="A2:A6"/>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66CA2-7599-42BA-A801-27712D061425}">
  <dimension ref="A1:G7"/>
  <sheetViews>
    <sheetView workbookViewId="0">
      <selection activeCell="D12" sqref="D12"/>
    </sheetView>
  </sheetViews>
  <sheetFormatPr defaultRowHeight="15"/>
  <cols>
    <col min="2" max="2" width="11" customWidth="1"/>
    <col min="3" max="3" width="15.140625" customWidth="1"/>
    <col min="4" max="4" width="74.85546875" customWidth="1"/>
    <col min="5" max="5" width="14.5703125" customWidth="1"/>
    <col min="6" max="6" width="62.85546875" customWidth="1"/>
    <col min="7" max="7" width="74.85546875" customWidth="1"/>
  </cols>
  <sheetData>
    <row r="1" spans="1:7" ht="31.5">
      <c r="A1" s="17" t="s">
        <v>0</v>
      </c>
      <c r="B1" s="18" t="s">
        <v>15</v>
      </c>
      <c r="C1" s="17" t="s">
        <v>1</v>
      </c>
      <c r="D1" s="17" t="s">
        <v>16</v>
      </c>
      <c r="E1" s="17" t="s">
        <v>17</v>
      </c>
      <c r="F1" s="17" t="s">
        <v>18</v>
      </c>
      <c r="G1" s="23" t="s">
        <v>19</v>
      </c>
    </row>
    <row r="2" spans="1:7" ht="39.75" customHeight="1">
      <c r="A2" s="117">
        <v>46115</v>
      </c>
      <c r="B2" s="118" t="s">
        <v>20</v>
      </c>
      <c r="C2" s="135" t="s">
        <v>3</v>
      </c>
      <c r="D2" s="13"/>
      <c r="E2" s="19"/>
      <c r="F2" s="19"/>
      <c r="G2" s="20"/>
    </row>
    <row r="3" spans="1:7" ht="39.75" customHeight="1">
      <c r="A3" s="117"/>
      <c r="B3" s="118"/>
      <c r="C3" s="135"/>
      <c r="D3" s="13"/>
      <c r="E3" s="19"/>
      <c r="F3" s="19"/>
      <c r="G3" s="20"/>
    </row>
    <row r="4" spans="1:7" ht="39.75" customHeight="1">
      <c r="A4" s="117"/>
      <c r="B4" s="118"/>
      <c r="C4" s="25" t="s">
        <v>24</v>
      </c>
      <c r="D4" s="13" t="s">
        <v>176</v>
      </c>
      <c r="E4" s="19" t="s">
        <v>177</v>
      </c>
      <c r="F4" s="19" t="s">
        <v>162</v>
      </c>
      <c r="G4" s="20"/>
    </row>
    <row r="5" spans="1:7" ht="39.75" customHeight="1">
      <c r="A5" s="117"/>
      <c r="B5" s="118"/>
      <c r="C5" s="135" t="s">
        <v>28</v>
      </c>
      <c r="D5" s="13" t="s">
        <v>89</v>
      </c>
      <c r="E5" s="19" t="s">
        <v>174</v>
      </c>
      <c r="F5" s="19" t="s">
        <v>155</v>
      </c>
      <c r="G5" s="9"/>
    </row>
    <row r="6" spans="1:7" ht="39.75" customHeight="1">
      <c r="A6" s="117"/>
      <c r="B6" s="118"/>
      <c r="C6" s="135"/>
      <c r="D6" s="13" t="s">
        <v>157</v>
      </c>
      <c r="E6" s="19" t="s">
        <v>175</v>
      </c>
      <c r="F6" s="19" t="s">
        <v>158</v>
      </c>
      <c r="G6" s="9"/>
    </row>
    <row r="7" spans="1:7" ht="39.75" customHeight="1">
      <c r="A7" s="117"/>
      <c r="B7" s="118"/>
      <c r="C7" s="135"/>
      <c r="D7" s="13" t="s">
        <v>169</v>
      </c>
      <c r="E7" s="19" t="s">
        <v>174</v>
      </c>
      <c r="F7" s="19" t="s">
        <v>162</v>
      </c>
      <c r="G7" s="9"/>
    </row>
  </sheetData>
  <mergeCells count="4">
    <mergeCell ref="A2:A7"/>
    <mergeCell ref="B2:B7"/>
    <mergeCell ref="C2:C3"/>
    <mergeCell ref="C5:C7"/>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46A04-4731-410F-8E62-AB7607A7AC26}">
  <dimension ref="A1:G9"/>
  <sheetViews>
    <sheetView topLeftCell="A2" workbookViewId="0">
      <selection activeCell="F8" sqref="F8"/>
    </sheetView>
  </sheetViews>
  <sheetFormatPr defaultRowHeight="15"/>
  <cols>
    <col min="1" max="1" width="10.7109375" customWidth="1"/>
    <col min="2" max="2" width="11.85546875" customWidth="1"/>
    <col min="3" max="3" width="13" customWidth="1"/>
    <col min="4" max="4" width="76.28515625" customWidth="1"/>
    <col min="5" max="5" width="14.5703125" customWidth="1"/>
    <col min="6" max="6" width="71.7109375" customWidth="1"/>
    <col min="7" max="7" width="64.140625" customWidth="1"/>
  </cols>
  <sheetData>
    <row r="1" spans="1:7" ht="15.75">
      <c r="A1" s="17" t="s">
        <v>0</v>
      </c>
      <c r="B1" s="18" t="s">
        <v>15</v>
      </c>
      <c r="C1" s="17" t="s">
        <v>1</v>
      </c>
      <c r="D1" s="17" t="s">
        <v>16</v>
      </c>
      <c r="E1" s="17" t="s">
        <v>17</v>
      </c>
      <c r="F1" s="17" t="s">
        <v>18</v>
      </c>
      <c r="G1" s="23" t="s">
        <v>19</v>
      </c>
    </row>
    <row r="2" spans="1:7" ht="123" customHeight="1">
      <c r="A2" s="117">
        <v>46118</v>
      </c>
      <c r="B2" s="118" t="s">
        <v>178</v>
      </c>
      <c r="C2" s="25" t="s">
        <v>3</v>
      </c>
      <c r="D2" s="13" t="s">
        <v>179</v>
      </c>
      <c r="E2" s="19" t="s">
        <v>180</v>
      </c>
      <c r="F2" s="19"/>
      <c r="G2" s="19" t="s">
        <v>181</v>
      </c>
    </row>
    <row r="3" spans="1:7" ht="67.5" customHeight="1">
      <c r="A3" s="117"/>
      <c r="B3" s="118"/>
      <c r="C3" s="119" t="s">
        <v>24</v>
      </c>
      <c r="D3" s="13" t="s">
        <v>182</v>
      </c>
      <c r="E3" s="19" t="s">
        <v>183</v>
      </c>
      <c r="F3" s="19" t="s">
        <v>184</v>
      </c>
      <c r="G3" s="20"/>
    </row>
    <row r="4" spans="1:7" ht="45.75" customHeight="1">
      <c r="A4" s="117"/>
      <c r="B4" s="118"/>
      <c r="C4" s="120"/>
      <c r="D4" s="13" t="s">
        <v>185</v>
      </c>
      <c r="E4" s="19" t="s">
        <v>186</v>
      </c>
      <c r="F4" s="19" t="s">
        <v>162</v>
      </c>
      <c r="G4" s="20"/>
    </row>
    <row r="5" spans="1:7" ht="45.75" customHeight="1">
      <c r="A5" s="117"/>
      <c r="B5" s="118"/>
      <c r="C5" s="120"/>
      <c r="D5" s="13" t="s">
        <v>187</v>
      </c>
      <c r="E5" s="19" t="s">
        <v>188</v>
      </c>
      <c r="F5" s="19" t="s">
        <v>162</v>
      </c>
      <c r="G5" s="20"/>
    </row>
    <row r="6" spans="1:7" ht="45.75" customHeight="1">
      <c r="A6" s="117"/>
      <c r="B6" s="118"/>
      <c r="C6" s="121"/>
      <c r="D6" s="13" t="s">
        <v>189</v>
      </c>
      <c r="E6" s="19" t="s">
        <v>188</v>
      </c>
      <c r="F6" s="19" t="s">
        <v>162</v>
      </c>
      <c r="G6" s="20"/>
    </row>
    <row r="7" spans="1:7" ht="65.25" customHeight="1">
      <c r="A7" s="117"/>
      <c r="B7" s="118"/>
      <c r="C7" s="135" t="s">
        <v>28</v>
      </c>
      <c r="D7" s="13" t="s">
        <v>89</v>
      </c>
      <c r="E7" s="19" t="s">
        <v>174</v>
      </c>
      <c r="F7" s="19" t="s">
        <v>155</v>
      </c>
      <c r="G7" s="9"/>
    </row>
    <row r="8" spans="1:7" ht="42" customHeight="1">
      <c r="A8" s="117"/>
      <c r="B8" s="118"/>
      <c r="C8" s="135"/>
      <c r="D8" s="13" t="s">
        <v>157</v>
      </c>
      <c r="E8" s="19" t="s">
        <v>175</v>
      </c>
      <c r="F8" s="19" t="s">
        <v>158</v>
      </c>
      <c r="G8" s="9"/>
    </row>
    <row r="9" spans="1:7" ht="42" customHeight="1">
      <c r="A9" s="117"/>
      <c r="B9" s="118"/>
      <c r="C9" s="135"/>
      <c r="D9" s="13" t="s">
        <v>169</v>
      </c>
      <c r="E9" s="19" t="s">
        <v>174</v>
      </c>
      <c r="F9" s="19" t="s">
        <v>162</v>
      </c>
      <c r="G9" s="9"/>
    </row>
  </sheetData>
  <mergeCells count="4">
    <mergeCell ref="A2:A9"/>
    <mergeCell ref="B2:B9"/>
    <mergeCell ref="C7:C9"/>
    <mergeCell ref="C3:C6"/>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027A5-CC59-4104-98F6-1C0E1646E379}">
  <dimension ref="A1:G10"/>
  <sheetViews>
    <sheetView workbookViewId="0"/>
  </sheetViews>
  <sheetFormatPr defaultRowHeight="15"/>
  <cols>
    <col min="1" max="2" width="13.28515625" customWidth="1"/>
    <col min="3" max="3" width="20.42578125" customWidth="1"/>
    <col min="4" max="4" width="67.140625" customWidth="1"/>
    <col min="5" max="5" width="17.42578125" customWidth="1"/>
    <col min="6" max="6" width="60.5703125" customWidth="1"/>
    <col min="7" max="7" width="66.85546875" customWidth="1"/>
  </cols>
  <sheetData>
    <row r="1" spans="1:7" ht="15.75">
      <c r="A1" s="17" t="s">
        <v>0</v>
      </c>
      <c r="B1" s="18" t="s">
        <v>15</v>
      </c>
      <c r="C1" s="17" t="s">
        <v>1</v>
      </c>
      <c r="D1" s="17" t="s">
        <v>16</v>
      </c>
      <c r="E1" s="17" t="s">
        <v>17</v>
      </c>
      <c r="F1" s="17" t="s">
        <v>18</v>
      </c>
      <c r="G1" s="23" t="s">
        <v>19</v>
      </c>
    </row>
    <row r="2" spans="1:7" ht="103.5" customHeight="1">
      <c r="A2" s="117">
        <v>46119</v>
      </c>
      <c r="B2" s="118" t="s">
        <v>20</v>
      </c>
      <c r="C2" s="119" t="s">
        <v>3</v>
      </c>
      <c r="D2" s="13" t="s">
        <v>185</v>
      </c>
      <c r="E2" s="19" t="s">
        <v>186</v>
      </c>
      <c r="F2" s="19"/>
      <c r="G2" s="19" t="s">
        <v>190</v>
      </c>
    </row>
    <row r="3" spans="1:7" ht="78.75" customHeight="1">
      <c r="A3" s="117"/>
      <c r="B3" s="118"/>
      <c r="C3" s="120"/>
      <c r="D3" s="13" t="s">
        <v>182</v>
      </c>
      <c r="E3" s="19" t="s">
        <v>183</v>
      </c>
      <c r="F3" s="19"/>
      <c r="G3" s="19" t="s">
        <v>191</v>
      </c>
    </row>
    <row r="4" spans="1:7" ht="78.75" customHeight="1">
      <c r="A4" s="117"/>
      <c r="B4" s="118"/>
      <c r="C4" s="121"/>
      <c r="D4" s="13" t="s">
        <v>89</v>
      </c>
      <c r="E4" s="19" t="s">
        <v>174</v>
      </c>
      <c r="F4" s="19"/>
      <c r="G4" s="19" t="s">
        <v>192</v>
      </c>
    </row>
    <row r="5" spans="1:7" ht="22.5" hidden="1" customHeight="1">
      <c r="A5" s="117"/>
      <c r="B5" s="118"/>
      <c r="C5" s="135" t="s">
        <v>24</v>
      </c>
      <c r="D5" s="13"/>
      <c r="E5" s="19"/>
      <c r="F5" s="19"/>
      <c r="G5" s="20"/>
    </row>
    <row r="6" spans="1:7" ht="22.5" hidden="1" customHeight="1">
      <c r="A6" s="117"/>
      <c r="B6" s="118"/>
      <c r="C6" s="135"/>
      <c r="D6" s="13"/>
      <c r="E6" s="19"/>
      <c r="F6" s="19"/>
      <c r="G6" s="20"/>
    </row>
    <row r="7" spans="1:7" ht="22.5" hidden="1" customHeight="1">
      <c r="A7" s="117"/>
      <c r="B7" s="118"/>
      <c r="C7" s="135"/>
      <c r="D7" s="13"/>
      <c r="E7" s="19"/>
      <c r="F7" s="19"/>
      <c r="G7" s="20"/>
    </row>
    <row r="8" spans="1:7" ht="42.75" customHeight="1">
      <c r="A8" s="117"/>
      <c r="B8" s="118"/>
      <c r="C8" s="135" t="s">
        <v>28</v>
      </c>
      <c r="D8" s="13" t="s">
        <v>157</v>
      </c>
      <c r="E8" s="19" t="s">
        <v>175</v>
      </c>
      <c r="F8" s="19" t="s">
        <v>158</v>
      </c>
      <c r="G8" s="9"/>
    </row>
    <row r="9" spans="1:7" ht="42.75" customHeight="1">
      <c r="A9" s="117"/>
      <c r="B9" s="118"/>
      <c r="C9" s="135"/>
      <c r="D9" s="13" t="s">
        <v>169</v>
      </c>
      <c r="E9" s="19" t="s">
        <v>174</v>
      </c>
      <c r="F9" s="19" t="s">
        <v>162</v>
      </c>
      <c r="G9" s="9"/>
    </row>
    <row r="10" spans="1:7" ht="45">
      <c r="A10" s="117"/>
      <c r="B10" s="118"/>
      <c r="C10" s="135"/>
      <c r="D10" s="13" t="s">
        <v>189</v>
      </c>
      <c r="E10" s="19" t="s">
        <v>188</v>
      </c>
      <c r="F10" s="19" t="s">
        <v>162</v>
      </c>
      <c r="G10" s="9"/>
    </row>
  </sheetData>
  <mergeCells count="5">
    <mergeCell ref="C5:C7"/>
    <mergeCell ref="C8:C10"/>
    <mergeCell ref="B2:B10"/>
    <mergeCell ref="A2:A10"/>
    <mergeCell ref="C2:C4"/>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A4A03-1060-4377-A6CE-2786634ABDB0}">
  <dimension ref="A1:G21"/>
  <sheetViews>
    <sheetView workbookViewId="0">
      <selection activeCell="D12" sqref="D12"/>
    </sheetView>
  </sheetViews>
  <sheetFormatPr defaultRowHeight="15"/>
  <cols>
    <col min="1" max="1" width="12.42578125" customWidth="1"/>
    <col min="2" max="2" width="12.85546875" customWidth="1"/>
    <col min="3" max="3" width="14.42578125" customWidth="1"/>
    <col min="4" max="4" width="61.140625" customWidth="1"/>
    <col min="5" max="5" width="14.7109375" customWidth="1"/>
    <col min="6" max="6" width="61.28515625" customWidth="1"/>
    <col min="7" max="7" width="73.85546875" customWidth="1"/>
  </cols>
  <sheetData>
    <row r="1" spans="1:7" ht="31.5">
      <c r="A1" s="17" t="s">
        <v>0</v>
      </c>
      <c r="B1" s="18" t="s">
        <v>15</v>
      </c>
      <c r="C1" s="17" t="s">
        <v>1</v>
      </c>
      <c r="D1" s="17" t="s">
        <v>16</v>
      </c>
      <c r="E1" s="17" t="s">
        <v>17</v>
      </c>
      <c r="F1" s="17" t="s">
        <v>18</v>
      </c>
      <c r="G1" s="23" t="s">
        <v>19</v>
      </c>
    </row>
    <row r="2" spans="1:7" ht="25.5" customHeight="1">
      <c r="A2" s="117">
        <v>46120</v>
      </c>
      <c r="B2" s="118" t="s">
        <v>178</v>
      </c>
      <c r="C2" s="119" t="s">
        <v>3</v>
      </c>
      <c r="D2" s="13"/>
      <c r="E2" s="19"/>
      <c r="F2" s="19"/>
      <c r="G2" s="19"/>
    </row>
    <row r="3" spans="1:7" ht="25.5" customHeight="1">
      <c r="A3" s="117"/>
      <c r="B3" s="118"/>
      <c r="C3" s="120"/>
      <c r="D3" s="13"/>
      <c r="E3" s="19"/>
      <c r="F3" s="19"/>
      <c r="G3" s="19"/>
    </row>
    <row r="4" spans="1:7" ht="45" customHeight="1">
      <c r="A4" s="117"/>
      <c r="B4" s="118"/>
      <c r="C4" s="135" t="s">
        <v>24</v>
      </c>
      <c r="D4" s="13" t="s">
        <v>193</v>
      </c>
      <c r="E4" s="19" t="s">
        <v>194</v>
      </c>
      <c r="F4" s="19" t="s">
        <v>162</v>
      </c>
      <c r="G4" s="20"/>
    </row>
    <row r="5" spans="1:7" ht="42" customHeight="1">
      <c r="A5" s="117"/>
      <c r="B5" s="118"/>
      <c r="C5" s="135"/>
      <c r="D5" s="13" t="s">
        <v>195</v>
      </c>
      <c r="E5" s="19" t="s">
        <v>196</v>
      </c>
      <c r="F5" s="19" t="s">
        <v>162</v>
      </c>
      <c r="G5" s="20"/>
    </row>
    <row r="6" spans="1:7" ht="36.75" customHeight="1">
      <c r="A6" s="117"/>
      <c r="B6" s="118"/>
      <c r="C6" s="135"/>
      <c r="D6" s="42" t="s">
        <v>197</v>
      </c>
      <c r="E6" s="19" t="s">
        <v>188</v>
      </c>
      <c r="F6" s="19" t="s">
        <v>162</v>
      </c>
      <c r="G6" s="20"/>
    </row>
    <row r="7" spans="1:7" ht="35.25" customHeight="1">
      <c r="A7" s="117"/>
      <c r="B7" s="118"/>
      <c r="C7" s="135" t="s">
        <v>28</v>
      </c>
      <c r="D7" s="13" t="s">
        <v>157</v>
      </c>
      <c r="E7" s="19" t="s">
        <v>175</v>
      </c>
      <c r="F7" s="19" t="s">
        <v>158</v>
      </c>
      <c r="G7" s="9"/>
    </row>
    <row r="8" spans="1:7" ht="35.25" customHeight="1">
      <c r="A8" s="117"/>
      <c r="B8" s="118"/>
      <c r="C8" s="135"/>
      <c r="D8" s="13" t="s">
        <v>169</v>
      </c>
      <c r="E8" s="19" t="s">
        <v>174</v>
      </c>
      <c r="F8" s="19" t="s">
        <v>162</v>
      </c>
      <c r="G8" s="9"/>
    </row>
    <row r="9" spans="1:7" ht="43.5" customHeight="1">
      <c r="A9" s="117"/>
      <c r="B9" s="118"/>
      <c r="C9" s="135"/>
      <c r="D9" s="13" t="s">
        <v>189</v>
      </c>
      <c r="E9" s="19" t="s">
        <v>188</v>
      </c>
      <c r="F9" s="19" t="s">
        <v>162</v>
      </c>
      <c r="G9" s="9"/>
    </row>
    <row r="15" spans="1:7">
      <c r="G15" s="31"/>
    </row>
    <row r="16" spans="1:7">
      <c r="G16" s="31"/>
    </row>
    <row r="17" spans="7:7">
      <c r="G17" s="31"/>
    </row>
    <row r="18" spans="7:7">
      <c r="G18" s="31"/>
    </row>
    <row r="19" spans="7:7">
      <c r="G19" s="31"/>
    </row>
    <row r="20" spans="7:7">
      <c r="G20" s="31"/>
    </row>
    <row r="21" spans="7:7">
      <c r="G21" s="31"/>
    </row>
  </sheetData>
  <mergeCells count="5">
    <mergeCell ref="A2:A9"/>
    <mergeCell ref="B2:B9"/>
    <mergeCell ref="C2:C3"/>
    <mergeCell ref="C4:C6"/>
    <mergeCell ref="C7:C9"/>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89C3D-1BCF-4F6B-A785-4D30703A307C}">
  <dimension ref="A1:G9"/>
  <sheetViews>
    <sheetView topLeftCell="A2" workbookViewId="0">
      <selection activeCell="F3" sqref="F3"/>
    </sheetView>
  </sheetViews>
  <sheetFormatPr defaultRowHeight="15"/>
  <cols>
    <col min="1" max="1" width="11.140625" customWidth="1"/>
    <col min="2" max="2" width="11.7109375" customWidth="1"/>
    <col min="3" max="3" width="20" customWidth="1"/>
    <col min="4" max="4" width="58.85546875" customWidth="1"/>
    <col min="5" max="5" width="15.85546875" customWidth="1"/>
    <col min="6" max="7" width="73.7109375" customWidth="1"/>
  </cols>
  <sheetData>
    <row r="1" spans="1:7" ht="15.75">
      <c r="A1" s="17" t="s">
        <v>0</v>
      </c>
      <c r="B1" s="18" t="s">
        <v>15</v>
      </c>
      <c r="C1" s="17" t="s">
        <v>1</v>
      </c>
      <c r="D1" s="17" t="s">
        <v>16</v>
      </c>
      <c r="E1" s="17" t="s">
        <v>17</v>
      </c>
      <c r="F1" s="17" t="s">
        <v>18</v>
      </c>
      <c r="G1" s="23" t="s">
        <v>19</v>
      </c>
    </row>
    <row r="2" spans="1:7" ht="123" customHeight="1">
      <c r="A2" s="117">
        <v>46121</v>
      </c>
      <c r="B2" s="118" t="s">
        <v>198</v>
      </c>
      <c r="C2" s="119" t="s">
        <v>3</v>
      </c>
      <c r="D2" s="13" t="s">
        <v>157</v>
      </c>
      <c r="E2" s="19" t="s">
        <v>175</v>
      </c>
      <c r="F2" s="19"/>
      <c r="G2" s="19" t="s">
        <v>199</v>
      </c>
    </row>
    <row r="3" spans="1:7" ht="143.25" customHeight="1">
      <c r="A3" s="117"/>
      <c r="B3" s="118"/>
      <c r="C3" s="121"/>
      <c r="D3" s="42" t="s">
        <v>200</v>
      </c>
      <c r="E3" s="19" t="s">
        <v>201</v>
      </c>
      <c r="F3" s="19"/>
      <c r="G3" s="19" t="s">
        <v>202</v>
      </c>
    </row>
    <row r="4" spans="1:7" ht="36" customHeight="1">
      <c r="A4" s="117"/>
      <c r="B4" s="118"/>
      <c r="C4" s="135" t="s">
        <v>24</v>
      </c>
      <c r="D4" s="13" t="s">
        <v>203</v>
      </c>
      <c r="E4" s="19" t="s">
        <v>188</v>
      </c>
      <c r="F4" s="19" t="s">
        <v>162</v>
      </c>
      <c r="G4" s="20"/>
    </row>
    <row r="5" spans="1:7" ht="33.75" customHeight="1">
      <c r="A5" s="117"/>
      <c r="B5" s="118"/>
      <c r="C5" s="135"/>
      <c r="D5" s="13" t="s">
        <v>204</v>
      </c>
      <c r="E5" s="19" t="s">
        <v>205</v>
      </c>
      <c r="F5" s="19" t="s">
        <v>162</v>
      </c>
      <c r="G5" s="20"/>
    </row>
    <row r="6" spans="1:7" ht="34.5" customHeight="1">
      <c r="A6" s="117"/>
      <c r="B6" s="118"/>
      <c r="C6" s="135"/>
      <c r="D6" s="13" t="s">
        <v>169</v>
      </c>
      <c r="E6" s="19" t="s">
        <v>174</v>
      </c>
      <c r="F6" s="19" t="s">
        <v>162</v>
      </c>
      <c r="G6" s="9"/>
    </row>
    <row r="7" spans="1:7" ht="55.5" customHeight="1">
      <c r="A7" s="117"/>
      <c r="B7" s="118"/>
      <c r="C7" s="135"/>
      <c r="D7" s="13" t="s">
        <v>189</v>
      </c>
      <c r="E7" s="19" t="s">
        <v>188</v>
      </c>
      <c r="F7" s="19" t="s">
        <v>162</v>
      </c>
      <c r="G7" s="9"/>
    </row>
    <row r="8" spans="1:7" ht="45">
      <c r="A8" s="117"/>
      <c r="B8" s="118"/>
      <c r="C8" s="135"/>
      <c r="D8" s="13" t="s">
        <v>193</v>
      </c>
      <c r="E8" s="19" t="s">
        <v>194</v>
      </c>
      <c r="F8" s="19" t="s">
        <v>162</v>
      </c>
      <c r="G8" s="9"/>
    </row>
    <row r="9" spans="1:7" ht="30">
      <c r="A9" s="117"/>
      <c r="B9" s="118"/>
      <c r="C9" s="135"/>
      <c r="D9" s="13" t="s">
        <v>195</v>
      </c>
      <c r="E9" s="19" t="s">
        <v>196</v>
      </c>
      <c r="F9" s="19" t="s">
        <v>162</v>
      </c>
      <c r="G9" s="9"/>
    </row>
  </sheetData>
  <mergeCells count="5">
    <mergeCell ref="C4:C5"/>
    <mergeCell ref="C6:C9"/>
    <mergeCell ref="B2:B9"/>
    <mergeCell ref="A2:A9"/>
    <mergeCell ref="C2:C3"/>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D4B3E-F7E9-4632-A0F7-CFB651B707AD}">
  <dimension ref="A1:G10"/>
  <sheetViews>
    <sheetView workbookViewId="0"/>
  </sheetViews>
  <sheetFormatPr defaultRowHeight="15"/>
  <cols>
    <col min="1" max="1" width="10.42578125" customWidth="1"/>
    <col min="2" max="2" width="12.42578125" customWidth="1"/>
    <col min="3" max="3" width="16" customWidth="1"/>
    <col min="4" max="4" width="66.7109375" customWidth="1"/>
    <col min="5" max="5" width="17.5703125" customWidth="1"/>
    <col min="6" max="6" width="61.140625" customWidth="1"/>
    <col min="7" max="7" width="68.140625" customWidth="1"/>
  </cols>
  <sheetData>
    <row r="1" spans="1:7" ht="15.75">
      <c r="A1" s="17" t="s">
        <v>0</v>
      </c>
      <c r="B1" s="18" t="s">
        <v>15</v>
      </c>
      <c r="C1" s="17" t="s">
        <v>1</v>
      </c>
      <c r="D1" s="17" t="s">
        <v>16</v>
      </c>
      <c r="E1" s="17" t="s">
        <v>17</v>
      </c>
      <c r="F1" s="17" t="s">
        <v>18</v>
      </c>
      <c r="G1" s="23" t="s">
        <v>19</v>
      </c>
    </row>
    <row r="2" spans="1:7" ht="33" customHeight="1">
      <c r="A2" s="117">
        <v>46122</v>
      </c>
      <c r="B2" s="118" t="s">
        <v>206</v>
      </c>
      <c r="C2" s="119" t="s">
        <v>3</v>
      </c>
      <c r="D2" s="13" t="s">
        <v>207</v>
      </c>
      <c r="E2" s="19" t="s">
        <v>188</v>
      </c>
      <c r="F2" s="19"/>
      <c r="G2" s="19" t="s">
        <v>208</v>
      </c>
    </row>
    <row r="3" spans="1:7" ht="33" customHeight="1">
      <c r="A3" s="117"/>
      <c r="B3" s="118"/>
      <c r="C3" s="120"/>
      <c r="D3" s="13" t="s">
        <v>209</v>
      </c>
      <c r="E3" s="19" t="s">
        <v>210</v>
      </c>
      <c r="F3" s="19"/>
      <c r="G3" s="19" t="s">
        <v>211</v>
      </c>
    </row>
    <row r="4" spans="1:7" ht="33" customHeight="1">
      <c r="A4" s="117"/>
      <c r="B4" s="118"/>
      <c r="C4" s="120"/>
      <c r="D4" s="13" t="s">
        <v>193</v>
      </c>
      <c r="E4" s="19" t="s">
        <v>194</v>
      </c>
      <c r="F4" s="19"/>
      <c r="G4" s="19" t="s">
        <v>212</v>
      </c>
    </row>
    <row r="5" spans="1:7" ht="33" customHeight="1">
      <c r="A5" s="117"/>
      <c r="B5" s="118"/>
      <c r="C5" s="121"/>
      <c r="D5" s="13" t="s">
        <v>169</v>
      </c>
      <c r="E5" s="19" t="s">
        <v>174</v>
      </c>
      <c r="F5" s="19"/>
      <c r="G5" s="19" t="s">
        <v>213</v>
      </c>
    </row>
    <row r="6" spans="1:7" ht="51.75" customHeight="1">
      <c r="A6" s="117"/>
      <c r="B6" s="118"/>
      <c r="C6" s="135" t="s">
        <v>24</v>
      </c>
      <c r="D6" s="13"/>
      <c r="E6" s="19" t="s">
        <v>188</v>
      </c>
      <c r="F6" s="19"/>
      <c r="G6" s="20"/>
    </row>
    <row r="7" spans="1:7" ht="33" customHeight="1">
      <c r="A7" s="117"/>
      <c r="B7" s="118"/>
      <c r="C7" s="135"/>
      <c r="D7" s="13"/>
      <c r="E7" s="19" t="s">
        <v>205</v>
      </c>
      <c r="F7" s="19"/>
      <c r="G7" s="20"/>
    </row>
    <row r="8" spans="1:7" ht="33" customHeight="1">
      <c r="A8" s="117"/>
      <c r="B8" s="118"/>
      <c r="C8" s="135"/>
      <c r="D8" s="13"/>
      <c r="E8" s="19"/>
      <c r="F8" s="19"/>
      <c r="G8" s="20"/>
    </row>
    <row r="9" spans="1:7" ht="51.75" customHeight="1">
      <c r="A9" s="117"/>
      <c r="B9" s="118"/>
      <c r="C9" s="135" t="s">
        <v>28</v>
      </c>
      <c r="D9" s="13" t="s">
        <v>189</v>
      </c>
      <c r="E9" s="19" t="s">
        <v>188</v>
      </c>
      <c r="F9" s="19" t="s">
        <v>162</v>
      </c>
      <c r="G9" s="9"/>
    </row>
    <row r="10" spans="1:7" ht="33" customHeight="1">
      <c r="A10" s="117"/>
      <c r="B10" s="118"/>
      <c r="C10" s="135"/>
      <c r="D10" s="13" t="s">
        <v>195</v>
      </c>
      <c r="E10" s="19" t="s">
        <v>196</v>
      </c>
      <c r="F10" s="19" t="s">
        <v>162</v>
      </c>
      <c r="G10" s="9"/>
    </row>
  </sheetData>
  <mergeCells count="5">
    <mergeCell ref="A2:A10"/>
    <mergeCell ref="B2:B10"/>
    <mergeCell ref="C6:C8"/>
    <mergeCell ref="C9:C10"/>
    <mergeCell ref="C2:C5"/>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B45E1-7B2B-43D5-A11D-337DE25F27AF}">
  <dimension ref="A1:G12"/>
  <sheetViews>
    <sheetView workbookViewId="0">
      <selection activeCell="D12" sqref="D12:F12"/>
    </sheetView>
  </sheetViews>
  <sheetFormatPr defaultRowHeight="15"/>
  <cols>
    <col min="1" max="1" width="10.42578125" customWidth="1"/>
    <col min="2" max="2" width="12.28515625" customWidth="1"/>
    <col min="3" max="3" width="13.7109375" customWidth="1"/>
    <col min="4" max="4" width="68.5703125" customWidth="1"/>
    <col min="5" max="5" width="14.28515625" customWidth="1"/>
    <col min="6" max="7" width="67.5703125" customWidth="1"/>
  </cols>
  <sheetData>
    <row r="1" spans="1:7" ht="31.5">
      <c r="A1" s="17" t="s">
        <v>0</v>
      </c>
      <c r="B1" s="18" t="s">
        <v>15</v>
      </c>
      <c r="C1" s="17" t="s">
        <v>1</v>
      </c>
      <c r="D1" s="17" t="s">
        <v>16</v>
      </c>
      <c r="E1" s="17" t="s">
        <v>17</v>
      </c>
      <c r="F1" s="17" t="s">
        <v>18</v>
      </c>
      <c r="G1" s="23" t="s">
        <v>19</v>
      </c>
    </row>
    <row r="2" spans="1:7" ht="46.5" customHeight="1">
      <c r="A2" s="117">
        <v>46125</v>
      </c>
      <c r="B2" s="118" t="s">
        <v>214</v>
      </c>
      <c r="C2" s="30" t="s">
        <v>3</v>
      </c>
      <c r="D2" s="13" t="s">
        <v>189</v>
      </c>
      <c r="E2" s="19" t="s">
        <v>188</v>
      </c>
      <c r="F2" s="19"/>
      <c r="G2" s="19" t="s">
        <v>215</v>
      </c>
    </row>
    <row r="3" spans="1:7" ht="47.25" customHeight="1">
      <c r="A3" s="117"/>
      <c r="B3" s="118"/>
      <c r="C3" s="119" t="s">
        <v>24</v>
      </c>
      <c r="D3" s="13" t="s">
        <v>216</v>
      </c>
      <c r="E3" s="19" t="s">
        <v>217</v>
      </c>
      <c r="F3" s="19" t="s">
        <v>162</v>
      </c>
      <c r="G3" s="20"/>
    </row>
    <row r="4" spans="1:7" ht="47.25" customHeight="1">
      <c r="A4" s="117"/>
      <c r="B4" s="118"/>
      <c r="C4" s="120"/>
      <c r="D4" s="13" t="s">
        <v>218</v>
      </c>
      <c r="E4" s="19" t="s">
        <v>219</v>
      </c>
      <c r="F4" s="19" t="s">
        <v>162</v>
      </c>
      <c r="G4" s="20"/>
    </row>
    <row r="5" spans="1:7" ht="47.25" customHeight="1">
      <c r="A5" s="117"/>
      <c r="B5" s="118"/>
      <c r="C5" s="120"/>
      <c r="D5" s="13" t="s">
        <v>220</v>
      </c>
      <c r="E5" s="19" t="s">
        <v>183</v>
      </c>
      <c r="F5" s="19" t="s">
        <v>162</v>
      </c>
      <c r="G5" s="20"/>
    </row>
    <row r="6" spans="1:7" ht="47.25" customHeight="1">
      <c r="A6" s="117"/>
      <c r="B6" s="118"/>
      <c r="C6" s="120"/>
      <c r="D6" s="13" t="s">
        <v>221</v>
      </c>
      <c r="E6" s="19" t="s">
        <v>186</v>
      </c>
      <c r="F6" s="19" t="s">
        <v>222</v>
      </c>
      <c r="G6" s="20"/>
    </row>
    <row r="7" spans="1:7" ht="47.25" customHeight="1">
      <c r="A7" s="117"/>
      <c r="B7" s="118"/>
      <c r="C7" s="120"/>
      <c r="D7" s="13" t="s">
        <v>223</v>
      </c>
      <c r="E7" s="19" t="s">
        <v>224</v>
      </c>
      <c r="F7" s="19" t="s">
        <v>225</v>
      </c>
      <c r="G7" s="20"/>
    </row>
    <row r="8" spans="1:7" ht="47.25" customHeight="1">
      <c r="A8" s="117"/>
      <c r="B8" s="118"/>
      <c r="C8" s="120"/>
      <c r="D8" s="13" t="s">
        <v>226</v>
      </c>
      <c r="E8" s="19" t="s">
        <v>224</v>
      </c>
      <c r="F8" s="19" t="s">
        <v>225</v>
      </c>
      <c r="G8" s="20"/>
    </row>
    <row r="9" spans="1:7" ht="47.25" customHeight="1">
      <c r="A9" s="117"/>
      <c r="B9" s="118"/>
      <c r="C9" s="120"/>
      <c r="D9" s="13" t="s">
        <v>227</v>
      </c>
      <c r="E9" s="19" t="s">
        <v>228</v>
      </c>
      <c r="F9" s="19" t="s">
        <v>162</v>
      </c>
      <c r="G9" s="20"/>
    </row>
    <row r="10" spans="1:7" ht="47.25" customHeight="1">
      <c r="A10" s="117"/>
      <c r="B10" s="118"/>
      <c r="C10" s="120"/>
      <c r="D10" s="13" t="s">
        <v>229</v>
      </c>
      <c r="E10" s="19" t="s">
        <v>224</v>
      </c>
      <c r="F10" s="19" t="s">
        <v>225</v>
      </c>
      <c r="G10" s="20"/>
    </row>
    <row r="11" spans="1:7" ht="47.25" customHeight="1">
      <c r="A11" s="117"/>
      <c r="B11" s="118"/>
      <c r="C11" s="121"/>
      <c r="D11" s="13" t="s">
        <v>230</v>
      </c>
      <c r="E11" s="19" t="s">
        <v>186</v>
      </c>
      <c r="F11" s="19" t="s">
        <v>162</v>
      </c>
      <c r="G11" s="20"/>
    </row>
    <row r="12" spans="1:7" ht="75" customHeight="1">
      <c r="A12" s="117"/>
      <c r="B12" s="118"/>
      <c r="C12" s="25" t="s">
        <v>28</v>
      </c>
      <c r="D12" s="13" t="s">
        <v>195</v>
      </c>
      <c r="E12" s="19" t="s">
        <v>196</v>
      </c>
      <c r="F12" s="19" t="s">
        <v>162</v>
      </c>
      <c r="G12" s="9"/>
    </row>
  </sheetData>
  <mergeCells count="3">
    <mergeCell ref="A2:A12"/>
    <mergeCell ref="B2:B12"/>
    <mergeCell ref="C3:C11"/>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47367-C9FD-4CCF-9564-D9504CF635A8}">
  <dimension ref="A1:G22"/>
  <sheetViews>
    <sheetView topLeftCell="A3" workbookViewId="0">
      <selection activeCell="F5" sqref="F5"/>
    </sheetView>
  </sheetViews>
  <sheetFormatPr defaultRowHeight="15"/>
  <cols>
    <col min="1" max="1" width="10.28515625" customWidth="1"/>
    <col min="2" max="2" width="13.140625" customWidth="1"/>
    <col min="3" max="3" width="14" customWidth="1"/>
    <col min="4" max="4" width="60.28515625" customWidth="1"/>
    <col min="5" max="5" width="19.7109375" customWidth="1"/>
    <col min="6" max="7" width="74" customWidth="1"/>
  </cols>
  <sheetData>
    <row r="1" spans="1:7" ht="15.75">
      <c r="A1" s="34" t="s">
        <v>0</v>
      </c>
      <c r="B1" s="35" t="s">
        <v>15</v>
      </c>
      <c r="C1" s="34" t="s">
        <v>1</v>
      </c>
      <c r="D1" s="34" t="s">
        <v>16</v>
      </c>
      <c r="E1" s="17" t="s">
        <v>17</v>
      </c>
      <c r="F1" s="17" t="s">
        <v>18</v>
      </c>
      <c r="G1" s="23" t="s">
        <v>19</v>
      </c>
    </row>
    <row r="2" spans="1:7" ht="54" customHeight="1">
      <c r="A2" s="112">
        <v>46126</v>
      </c>
      <c r="B2" s="111" t="s">
        <v>231</v>
      </c>
      <c r="C2" s="113" t="s">
        <v>3</v>
      </c>
      <c r="D2" s="32" t="s">
        <v>221</v>
      </c>
      <c r="E2" s="33" t="s">
        <v>186</v>
      </c>
      <c r="F2" s="19"/>
      <c r="G2" s="19" t="s">
        <v>232</v>
      </c>
    </row>
    <row r="3" spans="1:7" ht="62.25" customHeight="1">
      <c r="A3" s="112"/>
      <c r="B3" s="111"/>
      <c r="C3" s="114"/>
      <c r="D3" s="32" t="s">
        <v>230</v>
      </c>
      <c r="E3" s="33" t="s">
        <v>186</v>
      </c>
      <c r="F3" s="19"/>
      <c r="G3" s="19" t="s">
        <v>233</v>
      </c>
    </row>
    <row r="4" spans="1:7" ht="54" customHeight="1">
      <c r="A4" s="112"/>
      <c r="B4" s="111"/>
      <c r="C4" s="114"/>
      <c r="D4" s="32" t="s">
        <v>234</v>
      </c>
      <c r="E4" s="33" t="s">
        <v>224</v>
      </c>
      <c r="F4" s="19"/>
      <c r="G4" s="19" t="s">
        <v>235</v>
      </c>
    </row>
    <row r="5" spans="1:7" ht="60.75" customHeight="1">
      <c r="A5" s="112"/>
      <c r="B5" s="111"/>
      <c r="C5" s="115"/>
      <c r="D5" s="32" t="s">
        <v>227</v>
      </c>
      <c r="E5" s="33" t="s">
        <v>228</v>
      </c>
      <c r="F5" s="19"/>
      <c r="G5" s="39" t="s">
        <v>236</v>
      </c>
    </row>
    <row r="6" spans="1:7" ht="33.75" customHeight="1">
      <c r="A6" s="112"/>
      <c r="B6" s="111"/>
      <c r="C6" s="113" t="s">
        <v>5</v>
      </c>
      <c r="D6" s="32" t="s">
        <v>237</v>
      </c>
      <c r="E6" s="33" t="s">
        <v>188</v>
      </c>
      <c r="F6" s="19"/>
      <c r="G6" s="20"/>
    </row>
    <row r="7" spans="1:7" ht="33.75" customHeight="1">
      <c r="A7" s="112"/>
      <c r="B7" s="111"/>
      <c r="C7" s="114"/>
      <c r="D7" s="41" t="s">
        <v>238</v>
      </c>
      <c r="E7" s="33" t="s">
        <v>183</v>
      </c>
      <c r="F7" s="19" t="s">
        <v>162</v>
      </c>
      <c r="G7" s="20"/>
    </row>
    <row r="8" spans="1:7" ht="33.75" customHeight="1">
      <c r="A8" s="112"/>
      <c r="B8" s="111"/>
      <c r="C8" s="115"/>
      <c r="D8" s="41" t="s">
        <v>239</v>
      </c>
      <c r="E8" s="33" t="s">
        <v>188</v>
      </c>
      <c r="F8" s="19" t="s">
        <v>240</v>
      </c>
      <c r="G8" s="20"/>
    </row>
    <row r="9" spans="1:7" ht="43.5">
      <c r="A9" s="112"/>
      <c r="B9" s="111"/>
      <c r="C9" s="110" t="s">
        <v>28</v>
      </c>
      <c r="D9" s="32" t="s">
        <v>220</v>
      </c>
      <c r="E9" s="33" t="s">
        <v>183</v>
      </c>
      <c r="F9" s="19" t="s">
        <v>162</v>
      </c>
      <c r="G9" s="9"/>
    </row>
    <row r="10" spans="1:7" ht="30" customHeight="1">
      <c r="A10" s="112"/>
      <c r="B10" s="111"/>
      <c r="C10" s="110"/>
      <c r="D10" s="32" t="s">
        <v>223</v>
      </c>
      <c r="E10" s="33" t="s">
        <v>224</v>
      </c>
      <c r="F10" s="19" t="s">
        <v>225</v>
      </c>
      <c r="G10" s="9"/>
    </row>
    <row r="11" spans="1:7" ht="30" customHeight="1">
      <c r="A11" s="112"/>
      <c r="B11" s="111"/>
      <c r="C11" s="110"/>
      <c r="D11" s="32" t="s">
        <v>226</v>
      </c>
      <c r="E11" s="33" t="s">
        <v>224</v>
      </c>
      <c r="F11" s="19" t="s">
        <v>225</v>
      </c>
      <c r="G11" s="9"/>
    </row>
    <row r="12" spans="1:7" ht="30" customHeight="1">
      <c r="A12" s="112"/>
      <c r="B12" s="111"/>
      <c r="C12" s="110"/>
      <c r="D12" s="32" t="s">
        <v>229</v>
      </c>
      <c r="E12" s="33" t="s">
        <v>224</v>
      </c>
      <c r="F12" s="19" t="s">
        <v>225</v>
      </c>
      <c r="G12" s="38"/>
    </row>
    <row r="13" spans="1:7" ht="29.25">
      <c r="A13" s="112"/>
      <c r="B13" s="111"/>
      <c r="C13" s="110"/>
      <c r="D13" s="32" t="s">
        <v>195</v>
      </c>
      <c r="E13" s="33" t="s">
        <v>196</v>
      </c>
      <c r="F13" s="37" t="s">
        <v>162</v>
      </c>
      <c r="G13" s="36"/>
    </row>
    <row r="17" spans="6:7">
      <c r="F17" s="40"/>
      <c r="G17" s="40"/>
    </row>
    <row r="18" spans="6:7">
      <c r="F18" s="40"/>
    </row>
    <row r="19" spans="6:7">
      <c r="F19" s="40"/>
    </row>
    <row r="20" spans="6:7">
      <c r="F20" s="40"/>
    </row>
    <row r="21" spans="6:7">
      <c r="F21" s="40"/>
    </row>
    <row r="22" spans="6:7">
      <c r="F22" s="40"/>
    </row>
  </sheetData>
  <mergeCells count="5">
    <mergeCell ref="C9:C13"/>
    <mergeCell ref="B2:B13"/>
    <mergeCell ref="A2:A13"/>
    <mergeCell ref="C2:C5"/>
    <mergeCell ref="C6:C8"/>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931EA-41E2-4FD0-8789-0FF76C37D625}">
  <dimension ref="A1:G14"/>
  <sheetViews>
    <sheetView topLeftCell="A2" workbookViewId="0">
      <selection activeCell="D7" sqref="D7"/>
    </sheetView>
  </sheetViews>
  <sheetFormatPr defaultRowHeight="15"/>
  <cols>
    <col min="1" max="1" width="10.28515625" customWidth="1"/>
    <col min="2" max="2" width="11.42578125" customWidth="1"/>
    <col min="3" max="3" width="13.5703125" customWidth="1"/>
    <col min="4" max="4" width="56.85546875" customWidth="1"/>
    <col min="5" max="5" width="17.28515625" customWidth="1"/>
    <col min="6" max="7" width="74" customWidth="1"/>
  </cols>
  <sheetData>
    <row r="1" spans="1:7" ht="30.75">
      <c r="A1" s="34" t="s">
        <v>0</v>
      </c>
      <c r="B1" s="35" t="s">
        <v>15</v>
      </c>
      <c r="C1" s="34" t="s">
        <v>1</v>
      </c>
      <c r="D1" s="34" t="s">
        <v>16</v>
      </c>
      <c r="E1" s="17" t="s">
        <v>17</v>
      </c>
      <c r="F1" s="17" t="s">
        <v>18</v>
      </c>
      <c r="G1" s="23" t="s">
        <v>19</v>
      </c>
    </row>
    <row r="2" spans="1:7" ht="51.75" customHeight="1">
      <c r="A2" s="112">
        <v>46127</v>
      </c>
      <c r="B2" s="111" t="s">
        <v>241</v>
      </c>
      <c r="C2" s="136" t="s">
        <v>3</v>
      </c>
      <c r="D2" s="41" t="s">
        <v>242</v>
      </c>
      <c r="E2" s="33" t="s">
        <v>243</v>
      </c>
      <c r="F2" s="19"/>
      <c r="G2" s="19" t="s">
        <v>244</v>
      </c>
    </row>
    <row r="3" spans="1:7" ht="33" customHeight="1">
      <c r="A3" s="112"/>
      <c r="B3" s="111"/>
      <c r="C3" s="137"/>
      <c r="D3" s="32" t="s">
        <v>195</v>
      </c>
      <c r="E3" s="33" t="s">
        <v>196</v>
      </c>
      <c r="F3" s="37"/>
      <c r="G3" s="19" t="s">
        <v>245</v>
      </c>
    </row>
    <row r="4" spans="1:7" ht="33" customHeight="1">
      <c r="A4" s="112"/>
      <c r="B4" s="111"/>
      <c r="C4" s="137"/>
      <c r="D4" s="41" t="s">
        <v>238</v>
      </c>
      <c r="E4" s="33" t="s">
        <v>183</v>
      </c>
      <c r="F4" s="19"/>
      <c r="G4" s="19" t="s">
        <v>246</v>
      </c>
    </row>
    <row r="5" spans="1:7" ht="46.5" customHeight="1">
      <c r="A5" s="112"/>
      <c r="B5" s="111"/>
      <c r="C5" s="137"/>
      <c r="D5" s="13" t="s">
        <v>204</v>
      </c>
      <c r="E5" s="19" t="s">
        <v>205</v>
      </c>
      <c r="F5" s="19"/>
      <c r="G5" s="39" t="s">
        <v>247</v>
      </c>
    </row>
    <row r="6" spans="1:7" ht="41.25" customHeight="1">
      <c r="A6" s="112"/>
      <c r="B6" s="111"/>
      <c r="C6" s="138"/>
      <c r="D6" s="45" t="s">
        <v>197</v>
      </c>
      <c r="E6" s="19" t="s">
        <v>188</v>
      </c>
      <c r="F6" s="19"/>
      <c r="G6" s="20" t="s">
        <v>248</v>
      </c>
    </row>
    <row r="7" spans="1:7" ht="48.75" customHeight="1">
      <c r="A7" s="112"/>
      <c r="B7" s="111"/>
      <c r="C7" s="44" t="s">
        <v>24</v>
      </c>
      <c r="D7" s="41" t="s">
        <v>249</v>
      </c>
      <c r="E7" s="33" t="s">
        <v>224</v>
      </c>
      <c r="F7" s="19" t="s">
        <v>250</v>
      </c>
      <c r="G7" s="20"/>
    </row>
    <row r="8" spans="1:7" ht="60" customHeight="1">
      <c r="A8" s="112"/>
      <c r="B8" s="111"/>
      <c r="C8" s="110" t="s">
        <v>28</v>
      </c>
      <c r="D8" s="47" t="s">
        <v>251</v>
      </c>
      <c r="E8" s="33" t="s">
        <v>183</v>
      </c>
      <c r="F8" s="19" t="s">
        <v>162</v>
      </c>
      <c r="G8" s="9"/>
    </row>
    <row r="9" spans="1:7" ht="60" customHeight="1">
      <c r="A9" s="112"/>
      <c r="B9" s="111"/>
      <c r="C9" s="110"/>
      <c r="D9" s="32" t="s">
        <v>223</v>
      </c>
      <c r="E9" s="33" t="s">
        <v>224</v>
      </c>
      <c r="F9" s="19" t="s">
        <v>225</v>
      </c>
      <c r="G9" s="9"/>
    </row>
    <row r="10" spans="1:7" ht="60" customHeight="1">
      <c r="A10" s="112"/>
      <c r="B10" s="111"/>
      <c r="C10" s="110"/>
      <c r="D10" s="32" t="s">
        <v>226</v>
      </c>
      <c r="E10" s="33" t="s">
        <v>224</v>
      </c>
      <c r="F10" s="19" t="s">
        <v>225</v>
      </c>
      <c r="G10" s="38"/>
    </row>
    <row r="11" spans="1:7" ht="60" customHeight="1">
      <c r="A11" s="112"/>
      <c r="B11" s="111"/>
      <c r="C11" s="110"/>
      <c r="D11" s="32" t="s">
        <v>229</v>
      </c>
      <c r="E11" s="33" t="s">
        <v>224</v>
      </c>
      <c r="F11" s="37" t="s">
        <v>225</v>
      </c>
      <c r="G11" s="36"/>
    </row>
    <row r="12" spans="1:7" ht="60" customHeight="1"/>
    <row r="13" spans="1:7" ht="60" customHeight="1"/>
    <row r="14" spans="1:7" ht="60" customHeight="1"/>
  </sheetData>
  <mergeCells count="4">
    <mergeCell ref="A2:A11"/>
    <mergeCell ref="B2:B11"/>
    <mergeCell ref="C8:C11"/>
    <mergeCell ref="C2:C6"/>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9B828-52D8-4D97-9493-EBD3B3F276A0}">
  <dimension ref="A1:G7"/>
  <sheetViews>
    <sheetView workbookViewId="0">
      <selection activeCell="B2" sqref="B2:B7"/>
    </sheetView>
  </sheetViews>
  <sheetFormatPr defaultRowHeight="15"/>
  <cols>
    <col min="1" max="1" width="10.140625" bestFit="1" customWidth="1"/>
    <col min="3" max="3" width="12.85546875" customWidth="1"/>
    <col min="4" max="4" width="59.42578125" customWidth="1"/>
    <col min="5" max="5" width="13.7109375" customWidth="1"/>
    <col min="6" max="6" width="73.5703125" customWidth="1"/>
    <col min="7" max="7" width="62.140625" customWidth="1"/>
  </cols>
  <sheetData>
    <row r="1" spans="1:7" ht="30.75">
      <c r="A1" s="34" t="s">
        <v>0</v>
      </c>
      <c r="B1" s="35" t="s">
        <v>15</v>
      </c>
      <c r="C1" s="34" t="s">
        <v>1</v>
      </c>
      <c r="D1" s="34" t="s">
        <v>16</v>
      </c>
      <c r="E1" s="17" t="s">
        <v>17</v>
      </c>
      <c r="F1" s="17" t="s">
        <v>18</v>
      </c>
      <c r="G1" s="23" t="s">
        <v>19</v>
      </c>
    </row>
    <row r="2" spans="1:7" ht="63" customHeight="1">
      <c r="A2" s="112">
        <v>46128</v>
      </c>
      <c r="B2" s="111" t="s">
        <v>231</v>
      </c>
      <c r="C2" s="43" t="s">
        <v>5</v>
      </c>
      <c r="D2" s="41" t="s">
        <v>252</v>
      </c>
      <c r="E2" s="33" t="s">
        <v>196</v>
      </c>
      <c r="F2" s="37" t="s">
        <v>253</v>
      </c>
      <c r="G2" s="19"/>
    </row>
    <row r="3" spans="1:7" ht="63" customHeight="1">
      <c r="A3" s="112"/>
      <c r="B3" s="111"/>
      <c r="C3" s="113" t="s">
        <v>28</v>
      </c>
      <c r="D3" s="41" t="s">
        <v>249</v>
      </c>
      <c r="E3" s="33" t="s">
        <v>224</v>
      </c>
      <c r="F3" s="19" t="s">
        <v>254</v>
      </c>
      <c r="G3" s="19"/>
    </row>
    <row r="4" spans="1:7" ht="63" customHeight="1">
      <c r="A4" s="112"/>
      <c r="B4" s="111"/>
      <c r="C4" s="114"/>
      <c r="D4" s="32" t="s">
        <v>220</v>
      </c>
      <c r="E4" s="33" t="s">
        <v>183</v>
      </c>
      <c r="F4" s="19" t="s">
        <v>162</v>
      </c>
      <c r="G4" s="9"/>
    </row>
    <row r="5" spans="1:7" ht="38.25" customHeight="1">
      <c r="A5" s="112"/>
      <c r="B5" s="111"/>
      <c r="C5" s="114"/>
      <c r="D5" s="32" t="s">
        <v>223</v>
      </c>
      <c r="E5" s="33" t="s">
        <v>224</v>
      </c>
      <c r="F5" s="19" t="s">
        <v>225</v>
      </c>
      <c r="G5" s="9"/>
    </row>
    <row r="6" spans="1:7" ht="38.25" customHeight="1">
      <c r="A6" s="112"/>
      <c r="B6" s="111"/>
      <c r="C6" s="114"/>
      <c r="D6" s="32" t="s">
        <v>226</v>
      </c>
      <c r="E6" s="33" t="s">
        <v>224</v>
      </c>
      <c r="F6" s="19" t="s">
        <v>225</v>
      </c>
      <c r="G6" s="38"/>
    </row>
    <row r="7" spans="1:7" ht="38.25" customHeight="1">
      <c r="A7" s="112"/>
      <c r="B7" s="111"/>
      <c r="C7" s="115"/>
      <c r="D7" s="32" t="s">
        <v>229</v>
      </c>
      <c r="E7" s="33" t="s">
        <v>224</v>
      </c>
      <c r="F7" s="37" t="s">
        <v>225</v>
      </c>
      <c r="G7" s="36"/>
    </row>
  </sheetData>
  <mergeCells count="3">
    <mergeCell ref="C3:C7"/>
    <mergeCell ref="A2:A7"/>
    <mergeCell ref="B2:B7"/>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AA01E-7095-4853-BCF8-064F762217C4}">
  <dimension ref="A1:G11"/>
  <sheetViews>
    <sheetView workbookViewId="0"/>
  </sheetViews>
  <sheetFormatPr defaultRowHeight="15"/>
  <cols>
    <col min="1" max="2" width="11" customWidth="1"/>
    <col min="3" max="3" width="16.7109375" customWidth="1"/>
    <col min="4" max="4" width="65.42578125" customWidth="1"/>
    <col min="5" max="5" width="15.5703125" customWidth="1"/>
    <col min="6" max="7" width="67.140625" customWidth="1"/>
  </cols>
  <sheetData>
    <row r="1" spans="1:7" ht="30.75">
      <c r="A1" s="34" t="s">
        <v>0</v>
      </c>
      <c r="B1" s="35" t="s">
        <v>15</v>
      </c>
      <c r="C1" s="34" t="s">
        <v>1</v>
      </c>
      <c r="D1" s="34" t="s">
        <v>16</v>
      </c>
      <c r="E1" s="17" t="s">
        <v>17</v>
      </c>
      <c r="F1" s="17" t="s">
        <v>18</v>
      </c>
      <c r="G1" s="23" t="s">
        <v>19</v>
      </c>
    </row>
    <row r="2" spans="1:7" ht="36" customHeight="1">
      <c r="A2" s="112">
        <v>46129</v>
      </c>
      <c r="B2" s="111" t="s">
        <v>178</v>
      </c>
      <c r="C2" s="43" t="s">
        <v>5</v>
      </c>
      <c r="D2" s="41"/>
      <c r="E2" s="33" t="s">
        <v>224</v>
      </c>
      <c r="F2" s="37"/>
      <c r="G2" s="19"/>
    </row>
    <row r="3" spans="1:7" ht="36" customHeight="1">
      <c r="A3" s="112"/>
      <c r="B3" s="111"/>
      <c r="C3" s="113" t="s">
        <v>3</v>
      </c>
      <c r="D3" s="41" t="s">
        <v>255</v>
      </c>
      <c r="E3" s="46" t="s">
        <v>256</v>
      </c>
      <c r="F3" s="37"/>
      <c r="G3" s="19" t="s">
        <v>257</v>
      </c>
    </row>
    <row r="4" spans="1:7" ht="44.25" customHeight="1">
      <c r="A4" s="112"/>
      <c r="B4" s="111"/>
      <c r="C4" s="114"/>
      <c r="D4" s="41" t="s">
        <v>258</v>
      </c>
      <c r="E4" s="33" t="s">
        <v>259</v>
      </c>
      <c r="F4" s="37"/>
      <c r="G4" s="19" t="s">
        <v>260</v>
      </c>
    </row>
    <row r="5" spans="1:7" ht="36" customHeight="1">
      <c r="A5" s="112"/>
      <c r="B5" s="111"/>
      <c r="C5" s="114"/>
      <c r="D5" s="41" t="s">
        <v>261</v>
      </c>
      <c r="E5" s="33" t="s">
        <v>224</v>
      </c>
      <c r="F5" s="37"/>
      <c r="G5" s="19" t="s">
        <v>262</v>
      </c>
    </row>
    <row r="6" spans="1:7" ht="36" customHeight="1">
      <c r="A6" s="112"/>
      <c r="B6" s="111"/>
      <c r="C6" s="115"/>
      <c r="D6" s="41" t="s">
        <v>263</v>
      </c>
      <c r="E6" s="33" t="s">
        <v>224</v>
      </c>
      <c r="F6" s="37"/>
      <c r="G6" s="19" t="s">
        <v>264</v>
      </c>
    </row>
    <row r="7" spans="1:7" ht="52.5" customHeight="1">
      <c r="A7" s="112"/>
      <c r="B7" s="111"/>
      <c r="C7" s="113" t="s">
        <v>28</v>
      </c>
      <c r="D7" s="41" t="s">
        <v>249</v>
      </c>
      <c r="E7" s="33" t="s">
        <v>224</v>
      </c>
      <c r="F7" s="19" t="s">
        <v>254</v>
      </c>
      <c r="G7" s="19"/>
    </row>
    <row r="8" spans="1:7" ht="36" customHeight="1">
      <c r="A8" s="112"/>
      <c r="B8" s="111"/>
      <c r="C8" s="114"/>
      <c r="D8" s="32" t="s">
        <v>220</v>
      </c>
      <c r="E8" s="33" t="s">
        <v>183</v>
      </c>
      <c r="F8" s="19" t="s">
        <v>162</v>
      </c>
      <c r="G8" s="9"/>
    </row>
    <row r="9" spans="1:7" ht="36" customHeight="1">
      <c r="A9" s="112"/>
      <c r="B9" s="111"/>
      <c r="C9" s="114"/>
      <c r="D9" s="41" t="s">
        <v>265</v>
      </c>
      <c r="E9" s="33" t="s">
        <v>224</v>
      </c>
      <c r="F9" s="19" t="s">
        <v>225</v>
      </c>
      <c r="G9" s="9"/>
    </row>
    <row r="10" spans="1:7" ht="36" customHeight="1">
      <c r="A10" s="112"/>
      <c r="B10" s="111"/>
      <c r="C10" s="114"/>
      <c r="D10" s="32" t="s">
        <v>226</v>
      </c>
      <c r="E10" s="33" t="s">
        <v>224</v>
      </c>
      <c r="F10" s="19" t="s">
        <v>225</v>
      </c>
      <c r="G10" s="38"/>
    </row>
    <row r="11" spans="1:7" ht="36" customHeight="1">
      <c r="A11" s="112"/>
      <c r="B11" s="111"/>
      <c r="C11" s="115"/>
      <c r="D11" s="32" t="s">
        <v>229</v>
      </c>
      <c r="E11" s="33" t="s">
        <v>224</v>
      </c>
      <c r="F11" s="37" t="s">
        <v>225</v>
      </c>
      <c r="G11" s="36"/>
    </row>
  </sheetData>
  <mergeCells count="4">
    <mergeCell ref="A2:A11"/>
    <mergeCell ref="B2:B11"/>
    <mergeCell ref="C7:C11"/>
    <mergeCell ref="C3:C6"/>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E873E-17FA-45B0-B2B5-BDA49AD809BD}">
  <dimension ref="A1:H13"/>
  <sheetViews>
    <sheetView topLeftCell="A6" workbookViewId="0">
      <selection activeCell="H19" sqref="H19"/>
    </sheetView>
  </sheetViews>
  <sheetFormatPr defaultRowHeight="15"/>
  <cols>
    <col min="1" max="1" width="10.42578125" customWidth="1"/>
    <col min="2" max="2" width="11.5703125" customWidth="1"/>
    <col min="3" max="4" width="13.28515625" customWidth="1"/>
    <col min="5" max="5" width="57.5703125" customWidth="1"/>
    <col min="6" max="6" width="16.42578125" customWidth="1"/>
    <col min="7" max="8" width="71" customWidth="1"/>
  </cols>
  <sheetData>
    <row r="1" spans="1:8" ht="15.75">
      <c r="A1" s="34" t="s">
        <v>0</v>
      </c>
      <c r="B1" s="35" t="s">
        <v>15</v>
      </c>
      <c r="C1" s="34" t="s">
        <v>1</v>
      </c>
      <c r="D1" s="34" t="s">
        <v>266</v>
      </c>
      <c r="E1" s="34" t="s">
        <v>16</v>
      </c>
      <c r="F1" s="17" t="s">
        <v>17</v>
      </c>
      <c r="G1" s="17" t="s">
        <v>18</v>
      </c>
      <c r="H1" s="23" t="s">
        <v>19</v>
      </c>
    </row>
    <row r="2" spans="1:8" ht="39" customHeight="1">
      <c r="A2" s="112">
        <v>46132</v>
      </c>
      <c r="B2" s="111" t="s">
        <v>267</v>
      </c>
      <c r="C2" s="113" t="s">
        <v>5</v>
      </c>
      <c r="D2" s="48" t="s">
        <v>268</v>
      </c>
      <c r="E2" s="41" t="s">
        <v>269</v>
      </c>
      <c r="F2" s="33" t="s">
        <v>224</v>
      </c>
      <c r="G2" s="19" t="s">
        <v>162</v>
      </c>
      <c r="H2" s="19"/>
    </row>
    <row r="3" spans="1:8" ht="39" customHeight="1">
      <c r="A3" s="112"/>
      <c r="B3" s="111"/>
      <c r="C3" s="115"/>
      <c r="D3" s="48" t="s">
        <v>268</v>
      </c>
      <c r="E3" s="41" t="s">
        <v>270</v>
      </c>
      <c r="F3" s="33" t="s">
        <v>224</v>
      </c>
      <c r="G3" s="19" t="s">
        <v>162</v>
      </c>
      <c r="H3" s="19"/>
    </row>
    <row r="4" spans="1:8" ht="39" customHeight="1">
      <c r="A4" s="112"/>
      <c r="B4" s="111"/>
      <c r="C4" s="113" t="s">
        <v>3</v>
      </c>
      <c r="D4" s="48" t="s">
        <v>271</v>
      </c>
      <c r="E4" s="41" t="s">
        <v>252</v>
      </c>
      <c r="F4" s="33" t="s">
        <v>272</v>
      </c>
      <c r="G4" s="37"/>
      <c r="H4" s="39" t="s">
        <v>273</v>
      </c>
    </row>
    <row r="5" spans="1:8" ht="56.25" customHeight="1">
      <c r="A5" s="112"/>
      <c r="B5" s="111"/>
      <c r="C5" s="114"/>
      <c r="D5" s="48" t="s">
        <v>274</v>
      </c>
      <c r="E5" s="41" t="s">
        <v>275</v>
      </c>
      <c r="F5" s="33" t="s">
        <v>272</v>
      </c>
      <c r="G5" s="37"/>
      <c r="H5" s="39" t="s">
        <v>276</v>
      </c>
    </row>
    <row r="6" spans="1:8" ht="60.75" customHeight="1">
      <c r="A6" s="112"/>
      <c r="B6" s="111"/>
      <c r="C6" s="114"/>
      <c r="D6" s="48" t="s">
        <v>277</v>
      </c>
      <c r="E6" s="41" t="s">
        <v>278</v>
      </c>
      <c r="F6" s="33" t="s">
        <v>279</v>
      </c>
      <c r="G6" s="37"/>
      <c r="H6" s="39" t="s">
        <v>280</v>
      </c>
    </row>
    <row r="7" spans="1:8" ht="39" customHeight="1">
      <c r="A7" s="112"/>
      <c r="B7" s="111"/>
      <c r="C7" s="114"/>
      <c r="D7" s="48" t="s">
        <v>268</v>
      </c>
      <c r="E7" s="41" t="s">
        <v>281</v>
      </c>
      <c r="F7" s="33" t="s">
        <v>282</v>
      </c>
      <c r="G7" s="37"/>
      <c r="H7" s="39" t="s">
        <v>283</v>
      </c>
    </row>
    <row r="8" spans="1:8" ht="53.25" customHeight="1">
      <c r="A8" s="112"/>
      <c r="B8" s="111"/>
      <c r="C8" s="115"/>
      <c r="D8" s="48" t="s">
        <v>277</v>
      </c>
      <c r="E8" s="41" t="s">
        <v>284</v>
      </c>
      <c r="F8" s="33" t="s">
        <v>279</v>
      </c>
      <c r="G8" s="37"/>
      <c r="H8" s="39" t="s">
        <v>285</v>
      </c>
    </row>
    <row r="9" spans="1:8" ht="46.5" customHeight="1">
      <c r="A9" s="112"/>
      <c r="B9" s="111"/>
      <c r="C9" s="113" t="s">
        <v>28</v>
      </c>
      <c r="D9" s="48" t="s">
        <v>274</v>
      </c>
      <c r="E9" s="41" t="s">
        <v>249</v>
      </c>
      <c r="F9" s="33" t="s">
        <v>224</v>
      </c>
      <c r="G9" s="39" t="s">
        <v>286</v>
      </c>
      <c r="H9" s="19"/>
    </row>
    <row r="10" spans="1:8" ht="47.25" customHeight="1">
      <c r="A10" s="112"/>
      <c r="B10" s="111"/>
      <c r="C10" s="114"/>
      <c r="D10" s="48" t="s">
        <v>277</v>
      </c>
      <c r="E10" s="32" t="s">
        <v>220</v>
      </c>
      <c r="F10" s="33" t="s">
        <v>183</v>
      </c>
      <c r="G10" s="19" t="s">
        <v>287</v>
      </c>
      <c r="H10" s="9"/>
    </row>
    <row r="11" spans="1:8" ht="39" customHeight="1">
      <c r="A11" s="112"/>
      <c r="B11" s="111"/>
      <c r="C11" s="114"/>
      <c r="D11" s="48" t="s">
        <v>288</v>
      </c>
      <c r="E11" s="41" t="s">
        <v>265</v>
      </c>
      <c r="F11" s="33" t="s">
        <v>224</v>
      </c>
      <c r="G11" s="19" t="s">
        <v>289</v>
      </c>
      <c r="H11" s="9"/>
    </row>
    <row r="12" spans="1:8" ht="39" customHeight="1">
      <c r="A12" s="112"/>
      <c r="B12" s="111"/>
      <c r="C12" s="114"/>
      <c r="D12" s="48" t="s">
        <v>288</v>
      </c>
      <c r="E12" s="32" t="s">
        <v>226</v>
      </c>
      <c r="F12" s="33" t="s">
        <v>224</v>
      </c>
      <c r="G12" s="19" t="s">
        <v>289</v>
      </c>
      <c r="H12" s="38"/>
    </row>
    <row r="13" spans="1:8" ht="39" customHeight="1">
      <c r="A13" s="112"/>
      <c r="B13" s="111"/>
      <c r="C13" s="115"/>
      <c r="D13" s="48" t="s">
        <v>290</v>
      </c>
      <c r="E13" s="32" t="s">
        <v>229</v>
      </c>
      <c r="F13" s="33" t="s">
        <v>224</v>
      </c>
      <c r="G13" s="37" t="s">
        <v>291</v>
      </c>
      <c r="H13" s="36"/>
    </row>
  </sheetData>
  <mergeCells count="5">
    <mergeCell ref="A2:A13"/>
    <mergeCell ref="B2:B13"/>
    <mergeCell ref="C4:C8"/>
    <mergeCell ref="C9:C13"/>
    <mergeCell ref="C2:C3"/>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7AFCF-B470-4B0B-9AB3-347136727751}">
  <dimension ref="A1:H12"/>
  <sheetViews>
    <sheetView workbookViewId="0"/>
  </sheetViews>
  <sheetFormatPr defaultRowHeight="15"/>
  <cols>
    <col min="1" max="1" width="10.140625" bestFit="1" customWidth="1"/>
    <col min="2" max="2" width="9.42578125" customWidth="1"/>
    <col min="3" max="3" width="14.28515625" customWidth="1"/>
    <col min="4" max="4" width="11.28515625" customWidth="1"/>
    <col min="5" max="5" width="63.85546875" customWidth="1"/>
    <col min="6" max="6" width="16.42578125" customWidth="1"/>
    <col min="7" max="7" width="70.42578125" customWidth="1"/>
    <col min="8" max="8" width="70.5703125" customWidth="1"/>
  </cols>
  <sheetData>
    <row r="1" spans="1:8" ht="30.75">
      <c r="A1" s="54" t="s">
        <v>0</v>
      </c>
      <c r="B1" s="55" t="s">
        <v>15</v>
      </c>
      <c r="C1" s="54" t="s">
        <v>1</v>
      </c>
      <c r="D1" s="54" t="s">
        <v>266</v>
      </c>
      <c r="E1" s="49" t="s">
        <v>16</v>
      </c>
      <c r="F1" s="49" t="s">
        <v>17</v>
      </c>
      <c r="G1" s="49" t="s">
        <v>18</v>
      </c>
      <c r="H1" s="50" t="s">
        <v>19</v>
      </c>
    </row>
    <row r="2" spans="1:8" ht="30.75" hidden="1" customHeight="1">
      <c r="A2" s="112">
        <v>46133</v>
      </c>
      <c r="B2" s="111" t="s">
        <v>267</v>
      </c>
      <c r="C2" s="110" t="s">
        <v>5</v>
      </c>
      <c r="D2" s="48"/>
      <c r="E2" s="52"/>
      <c r="F2" s="33" t="s">
        <v>224</v>
      </c>
      <c r="G2" s="19"/>
      <c r="H2" s="19"/>
    </row>
    <row r="3" spans="1:8" ht="30.75" hidden="1" customHeight="1">
      <c r="A3" s="112"/>
      <c r="B3" s="111"/>
      <c r="C3" s="110"/>
      <c r="D3" s="48"/>
      <c r="E3" s="52"/>
      <c r="F3" s="33" t="s">
        <v>224</v>
      </c>
      <c r="G3" s="19"/>
      <c r="H3" s="19"/>
    </row>
    <row r="4" spans="1:8" ht="30.75" hidden="1" customHeight="1">
      <c r="A4" s="112"/>
      <c r="B4" s="111"/>
      <c r="C4" s="110" t="s">
        <v>3</v>
      </c>
      <c r="D4" s="48"/>
      <c r="E4" s="52"/>
      <c r="F4" s="33" t="s">
        <v>272</v>
      </c>
      <c r="G4" s="37"/>
      <c r="H4" s="39"/>
    </row>
    <row r="5" spans="1:8" ht="30.75" hidden="1" customHeight="1">
      <c r="A5" s="112"/>
      <c r="B5" s="111"/>
      <c r="C5" s="110"/>
      <c r="D5" s="48"/>
      <c r="E5" s="52"/>
      <c r="F5" s="33" t="s">
        <v>272</v>
      </c>
      <c r="G5" s="37"/>
      <c r="H5" s="39"/>
    </row>
    <row r="6" spans="1:8" ht="43.5">
      <c r="A6" s="112"/>
      <c r="B6" s="111"/>
      <c r="C6" s="110" t="s">
        <v>28</v>
      </c>
      <c r="D6" s="48" t="s">
        <v>274</v>
      </c>
      <c r="E6" s="52" t="s">
        <v>249</v>
      </c>
      <c r="F6" s="33" t="s">
        <v>224</v>
      </c>
      <c r="G6" s="39" t="s">
        <v>286</v>
      </c>
      <c r="H6" s="19"/>
    </row>
    <row r="7" spans="1:8" ht="43.5">
      <c r="A7" s="112"/>
      <c r="B7" s="111"/>
      <c r="C7" s="110"/>
      <c r="D7" s="48" t="s">
        <v>277</v>
      </c>
      <c r="E7" s="53" t="s">
        <v>220</v>
      </c>
      <c r="F7" s="33" t="s">
        <v>183</v>
      </c>
      <c r="G7" s="19" t="s">
        <v>287</v>
      </c>
      <c r="H7" s="9"/>
    </row>
    <row r="8" spans="1:8" ht="29.25">
      <c r="A8" s="112"/>
      <c r="B8" s="111"/>
      <c r="C8" s="110"/>
      <c r="D8" s="48" t="s">
        <v>288</v>
      </c>
      <c r="E8" s="52" t="s">
        <v>265</v>
      </c>
      <c r="F8" s="33" t="s">
        <v>224</v>
      </c>
      <c r="G8" s="19" t="s">
        <v>289</v>
      </c>
      <c r="H8" s="9"/>
    </row>
    <row r="9" spans="1:8" ht="29.25">
      <c r="A9" s="112"/>
      <c r="B9" s="111"/>
      <c r="C9" s="110"/>
      <c r="D9" s="48" t="s">
        <v>288</v>
      </c>
      <c r="E9" s="53" t="s">
        <v>226</v>
      </c>
      <c r="F9" s="33" t="s">
        <v>224</v>
      </c>
      <c r="G9" s="19" t="s">
        <v>289</v>
      </c>
      <c r="H9" s="38"/>
    </row>
    <row r="10" spans="1:8" ht="29.25">
      <c r="A10" s="112"/>
      <c r="B10" s="111"/>
      <c r="C10" s="110"/>
      <c r="D10" s="48" t="s">
        <v>290</v>
      </c>
      <c r="E10" s="53" t="s">
        <v>229</v>
      </c>
      <c r="F10" s="33" t="s">
        <v>224</v>
      </c>
      <c r="G10" s="37" t="s">
        <v>291</v>
      </c>
      <c r="H10" s="51"/>
    </row>
    <row r="11" spans="1:8" ht="29.25">
      <c r="A11" s="112"/>
      <c r="B11" s="111"/>
      <c r="C11" s="110"/>
      <c r="D11" s="48" t="s">
        <v>268</v>
      </c>
      <c r="E11" s="52" t="s">
        <v>269</v>
      </c>
      <c r="F11" s="33" t="s">
        <v>224</v>
      </c>
      <c r="G11" s="37" t="s">
        <v>162</v>
      </c>
      <c r="H11" s="36"/>
    </row>
    <row r="12" spans="1:8" ht="29.25">
      <c r="A12" s="112"/>
      <c r="B12" s="111"/>
      <c r="C12" s="110"/>
      <c r="D12" s="48" t="s">
        <v>268</v>
      </c>
      <c r="E12" s="52" t="s">
        <v>270</v>
      </c>
      <c r="F12" s="33" t="s">
        <v>224</v>
      </c>
      <c r="G12" s="37" t="s">
        <v>162</v>
      </c>
      <c r="H12" s="36"/>
    </row>
  </sheetData>
  <mergeCells count="5">
    <mergeCell ref="C6:C12"/>
    <mergeCell ref="B2:B12"/>
    <mergeCell ref="A2:A12"/>
    <mergeCell ref="C2:C3"/>
    <mergeCell ref="C4:C5"/>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490E2-4C1C-4FAF-991C-FAACC4F06977}">
  <dimension ref="A1:H11"/>
  <sheetViews>
    <sheetView workbookViewId="0">
      <selection activeCell="G4" sqref="G4"/>
    </sheetView>
  </sheetViews>
  <sheetFormatPr defaultRowHeight="15"/>
  <cols>
    <col min="1" max="2" width="10" customWidth="1"/>
    <col min="3" max="3" width="13" customWidth="1"/>
    <col min="4" max="4" width="11.7109375" customWidth="1"/>
    <col min="5" max="5" width="57" customWidth="1"/>
    <col min="6" max="6" width="18.28515625" customWidth="1"/>
    <col min="7" max="8" width="69.7109375" customWidth="1"/>
  </cols>
  <sheetData>
    <row r="1" spans="1:8" ht="30.75">
      <c r="A1" s="54" t="s">
        <v>0</v>
      </c>
      <c r="B1" s="55" t="s">
        <v>15</v>
      </c>
      <c r="C1" s="54" t="s">
        <v>1</v>
      </c>
      <c r="D1" s="54" t="s">
        <v>266</v>
      </c>
      <c r="E1" s="49" t="s">
        <v>16</v>
      </c>
      <c r="F1" s="49" t="s">
        <v>17</v>
      </c>
      <c r="G1" s="49" t="s">
        <v>18</v>
      </c>
      <c r="H1" s="50" t="s">
        <v>19</v>
      </c>
    </row>
    <row r="2" spans="1:8" ht="33" customHeight="1">
      <c r="A2" s="112">
        <v>46134</v>
      </c>
      <c r="B2" s="111" t="s">
        <v>292</v>
      </c>
      <c r="C2" s="56" t="s">
        <v>5</v>
      </c>
      <c r="D2" s="48" t="s">
        <v>277</v>
      </c>
      <c r="E2" s="52" t="s">
        <v>293</v>
      </c>
      <c r="F2" s="33" t="s">
        <v>294</v>
      </c>
      <c r="G2" s="37" t="s">
        <v>295</v>
      </c>
      <c r="H2" s="39"/>
    </row>
    <row r="3" spans="1:8" ht="78.75" customHeight="1">
      <c r="A3" s="112"/>
      <c r="B3" s="111"/>
      <c r="C3" s="110" t="s">
        <v>3</v>
      </c>
      <c r="D3" s="48" t="s">
        <v>274</v>
      </c>
      <c r="E3" s="52" t="s">
        <v>249</v>
      </c>
      <c r="F3" s="46" t="s">
        <v>296</v>
      </c>
      <c r="G3" s="39"/>
      <c r="H3" s="39" t="s">
        <v>297</v>
      </c>
    </row>
    <row r="4" spans="1:8" ht="66.75" customHeight="1">
      <c r="A4" s="112"/>
      <c r="B4" s="111"/>
      <c r="C4" s="110"/>
      <c r="D4" s="48" t="s">
        <v>274</v>
      </c>
      <c r="E4" s="52" t="s">
        <v>298</v>
      </c>
      <c r="F4" s="33" t="s">
        <v>299</v>
      </c>
      <c r="G4" s="39"/>
      <c r="H4" s="39" t="s">
        <v>300</v>
      </c>
    </row>
    <row r="5" spans="1:8" ht="45.75" customHeight="1">
      <c r="A5" s="112"/>
      <c r="B5" s="111"/>
      <c r="C5" s="110" t="s">
        <v>28</v>
      </c>
      <c r="D5" s="48" t="s">
        <v>277</v>
      </c>
      <c r="E5" s="53" t="s">
        <v>220</v>
      </c>
      <c r="F5" s="33" t="s">
        <v>183</v>
      </c>
      <c r="G5" s="19" t="s">
        <v>287</v>
      </c>
      <c r="H5" s="9"/>
    </row>
    <row r="6" spans="1:8" ht="36.75" customHeight="1">
      <c r="A6" s="112"/>
      <c r="B6" s="111"/>
      <c r="C6" s="110"/>
      <c r="D6" s="48" t="s">
        <v>288</v>
      </c>
      <c r="E6" s="52" t="s">
        <v>265</v>
      </c>
      <c r="F6" s="33" t="s">
        <v>224</v>
      </c>
      <c r="G6" s="19" t="s">
        <v>289</v>
      </c>
      <c r="H6" s="9"/>
    </row>
    <row r="7" spans="1:8" ht="36.75" customHeight="1">
      <c r="A7" s="112"/>
      <c r="B7" s="111"/>
      <c r="C7" s="110"/>
      <c r="D7" s="48" t="s">
        <v>288</v>
      </c>
      <c r="E7" s="53" t="s">
        <v>226</v>
      </c>
      <c r="F7" s="33" t="s">
        <v>224</v>
      </c>
      <c r="G7" s="19" t="s">
        <v>289</v>
      </c>
      <c r="H7" s="38"/>
    </row>
    <row r="8" spans="1:8" ht="36.75" customHeight="1">
      <c r="A8" s="112"/>
      <c r="B8" s="111"/>
      <c r="C8" s="110"/>
      <c r="D8" s="48" t="s">
        <v>290</v>
      </c>
      <c r="E8" s="53" t="s">
        <v>229</v>
      </c>
      <c r="F8" s="33" t="s">
        <v>224</v>
      </c>
      <c r="G8" s="37" t="s">
        <v>291</v>
      </c>
      <c r="H8" s="51"/>
    </row>
    <row r="9" spans="1:8" ht="36.75" customHeight="1">
      <c r="A9" s="112"/>
      <c r="B9" s="111"/>
      <c r="C9" s="110"/>
      <c r="D9" s="48" t="s">
        <v>268</v>
      </c>
      <c r="E9" s="52" t="s">
        <v>269</v>
      </c>
      <c r="F9" s="33" t="s">
        <v>224</v>
      </c>
      <c r="G9" s="37" t="s">
        <v>162</v>
      </c>
      <c r="H9" s="36"/>
    </row>
    <row r="10" spans="1:8" ht="36.75" customHeight="1">
      <c r="A10" s="112"/>
      <c r="B10" s="111"/>
      <c r="C10" s="110"/>
      <c r="D10" s="48" t="s">
        <v>268</v>
      </c>
      <c r="E10" s="52" t="s">
        <v>270</v>
      </c>
      <c r="F10" s="33" t="s">
        <v>224</v>
      </c>
      <c r="G10" s="37" t="s">
        <v>162</v>
      </c>
      <c r="H10" s="36"/>
    </row>
    <row r="11" spans="1:8" ht="36.75" customHeight="1"/>
  </sheetData>
  <mergeCells count="4">
    <mergeCell ref="A2:A10"/>
    <mergeCell ref="B2:B10"/>
    <mergeCell ref="C3:C4"/>
    <mergeCell ref="C5:C10"/>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000DA-3F98-400C-A2DF-E0A577DFE6FA}">
  <dimension ref="A1:H13"/>
  <sheetViews>
    <sheetView workbookViewId="0">
      <selection activeCell="H6" sqref="H6"/>
    </sheetView>
  </sheetViews>
  <sheetFormatPr defaultRowHeight="15"/>
  <cols>
    <col min="1" max="1" width="10.140625" bestFit="1" customWidth="1"/>
    <col min="2" max="2" width="10.5703125" customWidth="1"/>
    <col min="3" max="3" width="12" customWidth="1"/>
    <col min="4" max="4" width="13" customWidth="1"/>
    <col min="5" max="5" width="58.42578125" customWidth="1"/>
    <col min="6" max="6" width="19" customWidth="1"/>
    <col min="7" max="7" width="58.5703125" customWidth="1"/>
    <col min="8" max="8" width="81.42578125" customWidth="1"/>
  </cols>
  <sheetData>
    <row r="1" spans="1:8" ht="30.75">
      <c r="A1" s="54" t="s">
        <v>0</v>
      </c>
      <c r="B1" s="55" t="s">
        <v>15</v>
      </c>
      <c r="C1" s="54" t="s">
        <v>1</v>
      </c>
      <c r="D1" s="54" t="s">
        <v>266</v>
      </c>
      <c r="E1" s="54" t="s">
        <v>16</v>
      </c>
      <c r="F1" s="62" t="s">
        <v>17</v>
      </c>
      <c r="G1" s="49" t="s">
        <v>18</v>
      </c>
      <c r="H1" s="50" t="s">
        <v>19</v>
      </c>
    </row>
    <row r="2" spans="1:8" ht="33" customHeight="1">
      <c r="A2" s="112">
        <v>46135</v>
      </c>
      <c r="B2" s="111" t="s">
        <v>301</v>
      </c>
      <c r="C2" s="57" t="s">
        <v>5</v>
      </c>
      <c r="D2" s="48" t="s">
        <v>274</v>
      </c>
      <c r="E2" s="59" t="s">
        <v>302</v>
      </c>
      <c r="F2" s="63" t="s">
        <v>303</v>
      </c>
      <c r="G2" s="60" t="s">
        <v>162</v>
      </c>
      <c r="H2" s="61"/>
    </row>
    <row r="3" spans="1:8" ht="33" customHeight="1">
      <c r="A3" s="112"/>
      <c r="B3" s="111"/>
      <c r="C3" s="113" t="s">
        <v>3</v>
      </c>
      <c r="D3" s="58" t="s">
        <v>268</v>
      </c>
      <c r="E3" s="41" t="s">
        <v>269</v>
      </c>
      <c r="F3" s="33" t="s">
        <v>224</v>
      </c>
      <c r="G3" s="64"/>
      <c r="H3" s="65" t="s">
        <v>304</v>
      </c>
    </row>
    <row r="4" spans="1:8" ht="33" customHeight="1">
      <c r="A4" s="112"/>
      <c r="B4" s="111"/>
      <c r="C4" s="114"/>
      <c r="D4" s="48" t="s">
        <v>277</v>
      </c>
      <c r="E4" s="52" t="s">
        <v>293</v>
      </c>
      <c r="F4" s="33" t="s">
        <v>294</v>
      </c>
      <c r="G4" s="37"/>
      <c r="H4" s="39" t="s">
        <v>305</v>
      </c>
    </row>
    <row r="5" spans="1:8" ht="33" customHeight="1">
      <c r="A5" s="112"/>
      <c r="B5" s="111"/>
      <c r="C5" s="114"/>
      <c r="D5" s="48" t="s">
        <v>268</v>
      </c>
      <c r="E5" s="52" t="s">
        <v>270</v>
      </c>
      <c r="F5" s="33" t="s">
        <v>306</v>
      </c>
      <c r="G5" s="37"/>
      <c r="H5" s="39" t="s">
        <v>307</v>
      </c>
    </row>
    <row r="6" spans="1:8" ht="90.75" customHeight="1">
      <c r="A6" s="112"/>
      <c r="B6" s="111"/>
      <c r="C6" s="115"/>
      <c r="D6" s="48" t="s">
        <v>277</v>
      </c>
      <c r="E6" s="32" t="s">
        <v>220</v>
      </c>
      <c r="F6" s="33" t="s">
        <v>183</v>
      </c>
      <c r="G6" s="19"/>
      <c r="H6" s="39" t="s">
        <v>308</v>
      </c>
    </row>
    <row r="7" spans="1:8" ht="45" customHeight="1">
      <c r="A7" s="112"/>
      <c r="B7" s="111"/>
      <c r="C7" s="110" t="s">
        <v>28</v>
      </c>
      <c r="D7" s="48" t="s">
        <v>288</v>
      </c>
      <c r="E7" s="41" t="s">
        <v>265</v>
      </c>
      <c r="F7" s="33" t="s">
        <v>224</v>
      </c>
      <c r="G7" s="19" t="s">
        <v>309</v>
      </c>
      <c r="H7" s="9"/>
    </row>
    <row r="8" spans="1:8" ht="45" customHeight="1">
      <c r="A8" s="112"/>
      <c r="B8" s="111"/>
      <c r="C8" s="110"/>
      <c r="D8" s="48" t="s">
        <v>288</v>
      </c>
      <c r="E8" s="32" t="s">
        <v>226</v>
      </c>
      <c r="F8" s="33" t="s">
        <v>224</v>
      </c>
      <c r="G8" s="19" t="s">
        <v>309</v>
      </c>
      <c r="H8" s="38"/>
    </row>
    <row r="9" spans="1:8" ht="45" customHeight="1">
      <c r="A9" s="112"/>
      <c r="B9" s="111"/>
      <c r="C9" s="110"/>
      <c r="D9" s="48" t="s">
        <v>290</v>
      </c>
      <c r="E9" s="41" t="s">
        <v>310</v>
      </c>
      <c r="F9" s="33" t="s">
        <v>224</v>
      </c>
      <c r="G9" s="37" t="s">
        <v>291</v>
      </c>
      <c r="H9" s="36"/>
    </row>
    <row r="13" spans="1:8" ht="11.25" customHeight="1"/>
  </sheetData>
  <mergeCells count="4">
    <mergeCell ref="C7:C9"/>
    <mergeCell ref="B2:B9"/>
    <mergeCell ref="A2:A9"/>
    <mergeCell ref="C3:C6"/>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20FD0-1D32-4599-B94F-636C8D491A06}">
  <dimension ref="A1:H6"/>
  <sheetViews>
    <sheetView workbookViewId="0">
      <selection activeCell="F19" sqref="F19"/>
    </sheetView>
  </sheetViews>
  <sheetFormatPr defaultRowHeight="15"/>
  <cols>
    <col min="1" max="2" width="10.85546875" customWidth="1"/>
    <col min="3" max="3" width="15.28515625" customWidth="1"/>
    <col min="4" max="4" width="11.7109375" customWidth="1"/>
    <col min="5" max="5" width="59.140625" customWidth="1"/>
    <col min="6" max="6" width="14.28515625" customWidth="1"/>
    <col min="7" max="8" width="69.42578125" customWidth="1"/>
  </cols>
  <sheetData>
    <row r="1" spans="1:8" ht="30.75">
      <c r="A1" s="54" t="s">
        <v>0</v>
      </c>
      <c r="B1" s="55" t="s">
        <v>15</v>
      </c>
      <c r="C1" s="54" t="s">
        <v>1</v>
      </c>
      <c r="D1" s="54" t="s">
        <v>266</v>
      </c>
      <c r="E1" s="54" t="s">
        <v>16</v>
      </c>
      <c r="F1" s="62" t="s">
        <v>17</v>
      </c>
      <c r="G1" s="49" t="s">
        <v>18</v>
      </c>
      <c r="H1" s="50" t="s">
        <v>19</v>
      </c>
    </row>
    <row r="2" spans="1:8" ht="30" customHeight="1">
      <c r="A2" s="112">
        <v>46136</v>
      </c>
      <c r="B2" s="111" t="s">
        <v>311</v>
      </c>
      <c r="C2" s="43" t="s">
        <v>5</v>
      </c>
      <c r="D2" s="48" t="s">
        <v>312</v>
      </c>
      <c r="E2" s="59" t="s">
        <v>313</v>
      </c>
      <c r="F2" s="33" t="s">
        <v>314</v>
      </c>
      <c r="G2" s="60" t="s">
        <v>315</v>
      </c>
      <c r="H2" s="61"/>
    </row>
    <row r="3" spans="1:8" ht="30" customHeight="1">
      <c r="A3" s="112"/>
      <c r="B3" s="111"/>
      <c r="C3" s="113" t="s">
        <v>3</v>
      </c>
      <c r="D3" s="48" t="s">
        <v>288</v>
      </c>
      <c r="E3" s="41" t="s">
        <v>265</v>
      </c>
      <c r="F3" s="33" t="s">
        <v>224</v>
      </c>
      <c r="G3" s="19"/>
      <c r="H3" s="19" t="s">
        <v>316</v>
      </c>
    </row>
    <row r="4" spans="1:8" ht="30" customHeight="1">
      <c r="A4" s="112"/>
      <c r="B4" s="111"/>
      <c r="C4" s="114"/>
      <c r="D4" s="48" t="s">
        <v>288</v>
      </c>
      <c r="E4" s="32" t="s">
        <v>226</v>
      </c>
      <c r="F4" s="33" t="s">
        <v>224</v>
      </c>
      <c r="G4" s="19"/>
      <c r="H4" s="19" t="s">
        <v>316</v>
      </c>
    </row>
    <row r="5" spans="1:8" ht="111" customHeight="1">
      <c r="A5" s="112"/>
      <c r="B5" s="111"/>
      <c r="C5" s="114"/>
      <c r="D5" s="48" t="s">
        <v>274</v>
      </c>
      <c r="E5" s="59" t="s">
        <v>302</v>
      </c>
      <c r="F5" s="63" t="s">
        <v>303</v>
      </c>
      <c r="G5" s="60"/>
      <c r="H5" s="61" t="s">
        <v>317</v>
      </c>
    </row>
    <row r="6" spans="1:8" ht="30" customHeight="1">
      <c r="A6" s="112"/>
      <c r="B6" s="111"/>
      <c r="C6" s="56" t="s">
        <v>28</v>
      </c>
      <c r="D6" s="48" t="s">
        <v>290</v>
      </c>
      <c r="E6" s="41" t="s">
        <v>310</v>
      </c>
      <c r="F6" s="33" t="s">
        <v>224</v>
      </c>
      <c r="G6" s="37" t="s">
        <v>318</v>
      </c>
      <c r="H6" s="36"/>
    </row>
  </sheetData>
  <mergeCells count="3">
    <mergeCell ref="A2:A6"/>
    <mergeCell ref="B2:B6"/>
    <mergeCell ref="C3:C5"/>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73CD0-5E04-4C74-BFDC-74FD9DA20ECC}">
  <dimension ref="A1:H4"/>
  <sheetViews>
    <sheetView workbookViewId="0">
      <selection activeCell="E15" sqref="E15"/>
    </sheetView>
  </sheetViews>
  <sheetFormatPr defaultRowHeight="15"/>
  <cols>
    <col min="1" max="2" width="10.85546875" customWidth="1"/>
    <col min="3" max="3" width="20.140625" customWidth="1"/>
    <col min="4" max="4" width="12.85546875" customWidth="1"/>
    <col min="5" max="5" width="57.7109375" customWidth="1"/>
    <col min="6" max="6" width="15.5703125" customWidth="1"/>
    <col min="7" max="8" width="71" customWidth="1"/>
  </cols>
  <sheetData>
    <row r="1" spans="1:8" ht="30.75">
      <c r="A1" s="54" t="s">
        <v>0</v>
      </c>
      <c r="B1" s="55" t="s">
        <v>15</v>
      </c>
      <c r="C1" s="54" t="s">
        <v>1</v>
      </c>
      <c r="D1" s="54" t="s">
        <v>266</v>
      </c>
      <c r="E1" s="54" t="s">
        <v>16</v>
      </c>
      <c r="F1" s="62" t="s">
        <v>17</v>
      </c>
      <c r="G1" s="49" t="s">
        <v>18</v>
      </c>
      <c r="H1" s="50" t="s">
        <v>19</v>
      </c>
    </row>
    <row r="2" spans="1:8" ht="40.5" customHeight="1">
      <c r="A2" s="112">
        <v>46139</v>
      </c>
      <c r="B2" s="111" t="s">
        <v>319</v>
      </c>
      <c r="C2" s="43" t="s">
        <v>5</v>
      </c>
      <c r="D2" s="48" t="s">
        <v>268</v>
      </c>
      <c r="E2" s="67" t="s">
        <v>320</v>
      </c>
      <c r="F2" s="60" t="s">
        <v>224</v>
      </c>
      <c r="G2" s="60" t="s">
        <v>321</v>
      </c>
      <c r="H2" s="61"/>
    </row>
    <row r="3" spans="1:8" ht="40.5" customHeight="1">
      <c r="A3" s="112"/>
      <c r="B3" s="139"/>
      <c r="C3" s="110" t="s">
        <v>28</v>
      </c>
      <c r="D3" s="48" t="s">
        <v>312</v>
      </c>
      <c r="E3" s="59" t="s">
        <v>313</v>
      </c>
      <c r="F3" s="33" t="s">
        <v>175</v>
      </c>
      <c r="G3" s="60" t="s">
        <v>315</v>
      </c>
      <c r="H3" s="60"/>
    </row>
    <row r="4" spans="1:8" ht="40.5" customHeight="1">
      <c r="A4" s="112"/>
      <c r="B4" s="139"/>
      <c r="C4" s="110"/>
      <c r="D4" s="66" t="s">
        <v>290</v>
      </c>
      <c r="E4" s="41" t="s">
        <v>310</v>
      </c>
      <c r="F4" s="33" t="s">
        <v>224</v>
      </c>
      <c r="G4" s="37" t="s">
        <v>291</v>
      </c>
      <c r="H4" s="36"/>
    </row>
  </sheetData>
  <mergeCells count="3">
    <mergeCell ref="A2:A4"/>
    <mergeCell ref="B2:B4"/>
    <mergeCell ref="C3:C4"/>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EEA6-9893-49F9-8496-37F3FB705317}">
  <dimension ref="A1:H19"/>
  <sheetViews>
    <sheetView workbookViewId="0">
      <selection activeCell="E11" sqref="E11"/>
    </sheetView>
  </sheetViews>
  <sheetFormatPr defaultRowHeight="15"/>
  <cols>
    <col min="1" max="2" width="10.5703125" customWidth="1"/>
    <col min="3" max="3" width="14.85546875" customWidth="1"/>
    <col min="4" max="4" width="16.140625" customWidth="1"/>
    <col min="5" max="5" width="55.28515625" customWidth="1"/>
    <col min="6" max="6" width="13.42578125" customWidth="1"/>
    <col min="7" max="8" width="68" customWidth="1"/>
  </cols>
  <sheetData>
    <row r="1" spans="1:8" ht="30.75">
      <c r="A1" s="54" t="s">
        <v>0</v>
      </c>
      <c r="B1" s="55" t="s">
        <v>15</v>
      </c>
      <c r="C1" s="54" t="s">
        <v>1</v>
      </c>
      <c r="D1" s="54" t="s">
        <v>266</v>
      </c>
      <c r="E1" s="54" t="s">
        <v>16</v>
      </c>
      <c r="F1" s="62" t="s">
        <v>17</v>
      </c>
      <c r="G1" s="49" t="s">
        <v>18</v>
      </c>
      <c r="H1" s="50" t="s">
        <v>19</v>
      </c>
    </row>
    <row r="2" spans="1:8" ht="41.25" customHeight="1">
      <c r="A2" s="112">
        <v>46140</v>
      </c>
      <c r="B2" s="111" t="s">
        <v>301</v>
      </c>
      <c r="C2" s="56" t="s">
        <v>5</v>
      </c>
      <c r="D2" s="48" t="s">
        <v>277</v>
      </c>
      <c r="E2" s="41" t="s">
        <v>322</v>
      </c>
      <c r="F2" s="33" t="s">
        <v>175</v>
      </c>
      <c r="G2" s="60" t="s">
        <v>315</v>
      </c>
      <c r="H2" s="61"/>
    </row>
    <row r="3" spans="1:8" ht="41.25" customHeight="1">
      <c r="A3" s="112"/>
      <c r="B3" s="111"/>
      <c r="C3" s="110" t="s">
        <v>28</v>
      </c>
      <c r="D3" s="48" t="s">
        <v>268</v>
      </c>
      <c r="E3" s="59" t="s">
        <v>313</v>
      </c>
      <c r="F3" s="33" t="s">
        <v>175</v>
      </c>
      <c r="G3" s="60" t="s">
        <v>315</v>
      </c>
      <c r="H3" s="60"/>
    </row>
    <row r="4" spans="1:8" ht="41.25" customHeight="1">
      <c r="A4" s="112"/>
      <c r="B4" s="111"/>
      <c r="C4" s="110"/>
      <c r="D4" s="48" t="s">
        <v>290</v>
      </c>
      <c r="E4" s="41" t="s">
        <v>310</v>
      </c>
      <c r="F4" s="33" t="s">
        <v>224</v>
      </c>
      <c r="G4" s="37" t="s">
        <v>291</v>
      </c>
      <c r="H4" s="36"/>
    </row>
    <row r="5" spans="1:8" ht="41.25" customHeight="1">
      <c r="A5" s="112"/>
      <c r="B5" s="111"/>
      <c r="C5" s="110"/>
      <c r="D5" s="48" t="s">
        <v>268</v>
      </c>
      <c r="E5" s="41" t="s">
        <v>320</v>
      </c>
      <c r="F5" s="68" t="s">
        <v>224</v>
      </c>
      <c r="G5" s="60" t="s">
        <v>321</v>
      </c>
      <c r="H5" s="61"/>
    </row>
    <row r="12" spans="1:8">
      <c r="F12" s="69"/>
    </row>
    <row r="13" spans="1:8">
      <c r="F13" s="69"/>
    </row>
    <row r="14" spans="1:8">
      <c r="F14" s="69"/>
    </row>
    <row r="15" spans="1:8">
      <c r="F15" s="69"/>
    </row>
    <row r="16" spans="1:8">
      <c r="F16" s="40"/>
    </row>
    <row r="17" spans="6:6">
      <c r="F17" s="40"/>
    </row>
    <row r="19" spans="6:6">
      <c r="F19" s="40"/>
    </row>
  </sheetData>
  <mergeCells count="3">
    <mergeCell ref="C3:C5"/>
    <mergeCell ref="B2:B5"/>
    <mergeCell ref="A2:A5"/>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383B9-1B12-4B41-A81A-726C4FE1B671}">
  <dimension ref="A1:H6"/>
  <sheetViews>
    <sheetView workbookViewId="0">
      <selection activeCell="B11" sqref="B11"/>
    </sheetView>
  </sheetViews>
  <sheetFormatPr defaultRowHeight="15"/>
  <cols>
    <col min="1" max="1" width="11.42578125" customWidth="1"/>
    <col min="2" max="2" width="11.28515625" customWidth="1"/>
    <col min="3" max="3" width="15.140625" customWidth="1"/>
    <col min="4" max="4" width="11.7109375" customWidth="1"/>
    <col min="5" max="5" width="70.28515625" customWidth="1"/>
    <col min="6" max="6" width="14.5703125" customWidth="1"/>
    <col min="7" max="8" width="66.5703125" customWidth="1"/>
  </cols>
  <sheetData>
    <row r="1" spans="1:8" ht="15.75">
      <c r="A1" s="54" t="s">
        <v>0</v>
      </c>
      <c r="B1" s="55" t="s">
        <v>15</v>
      </c>
      <c r="C1" s="54" t="s">
        <v>1</v>
      </c>
      <c r="D1" s="54" t="s">
        <v>266</v>
      </c>
      <c r="E1" s="54" t="s">
        <v>16</v>
      </c>
      <c r="F1" s="62" t="s">
        <v>17</v>
      </c>
      <c r="G1" s="49" t="s">
        <v>18</v>
      </c>
      <c r="H1" s="50" t="s">
        <v>19</v>
      </c>
    </row>
    <row r="2" spans="1:8" ht="66.75" customHeight="1">
      <c r="A2" s="112">
        <v>46141</v>
      </c>
      <c r="B2" s="111" t="s">
        <v>301</v>
      </c>
      <c r="C2" s="56" t="s">
        <v>5</v>
      </c>
      <c r="D2" s="48" t="s">
        <v>277</v>
      </c>
      <c r="E2" s="52" t="s">
        <v>323</v>
      </c>
      <c r="F2" s="33" t="s">
        <v>224</v>
      </c>
      <c r="G2" s="60" t="s">
        <v>324</v>
      </c>
      <c r="H2" s="61"/>
    </row>
    <row r="3" spans="1:8" ht="34.5" customHeight="1">
      <c r="A3" s="112"/>
      <c r="B3" s="111"/>
      <c r="C3" s="56" t="s">
        <v>325</v>
      </c>
      <c r="D3" s="48" t="s">
        <v>268</v>
      </c>
      <c r="E3" s="70" t="s">
        <v>313</v>
      </c>
      <c r="F3" s="33" t="s">
        <v>175</v>
      </c>
      <c r="G3" s="60"/>
      <c r="H3" s="60" t="s">
        <v>326</v>
      </c>
    </row>
    <row r="4" spans="1:8" ht="34.5" customHeight="1">
      <c r="A4" s="112"/>
      <c r="B4" s="111"/>
      <c r="C4" s="113" t="s">
        <v>28</v>
      </c>
      <c r="D4" s="48" t="s">
        <v>290</v>
      </c>
      <c r="E4" s="52" t="s">
        <v>310</v>
      </c>
      <c r="F4" s="33" t="s">
        <v>224</v>
      </c>
      <c r="G4" s="37" t="s">
        <v>291</v>
      </c>
      <c r="H4" s="36"/>
    </row>
    <row r="5" spans="1:8" ht="52.5" customHeight="1">
      <c r="A5" s="112"/>
      <c r="B5" s="111"/>
      <c r="C5" s="114"/>
      <c r="D5" s="48" t="s">
        <v>268</v>
      </c>
      <c r="E5" s="52" t="s">
        <v>320</v>
      </c>
      <c r="F5" s="68" t="s">
        <v>224</v>
      </c>
      <c r="G5" s="60" t="s">
        <v>321</v>
      </c>
      <c r="H5" s="72"/>
    </row>
    <row r="6" spans="1:8" ht="34.5" customHeight="1">
      <c r="A6" s="112"/>
      <c r="B6" s="111"/>
      <c r="C6" s="115"/>
      <c r="D6" s="48" t="s">
        <v>277</v>
      </c>
      <c r="E6" s="52" t="s">
        <v>327</v>
      </c>
      <c r="F6" s="33" t="s">
        <v>175</v>
      </c>
      <c r="G6" s="71" t="s">
        <v>315</v>
      </c>
      <c r="H6" s="36"/>
    </row>
  </sheetData>
  <mergeCells count="3">
    <mergeCell ref="B2:B6"/>
    <mergeCell ref="A2:A6"/>
    <mergeCell ref="C4:C6"/>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91F7F-1545-441A-BA92-DD2588F460F2}">
  <dimension ref="A1:H9"/>
  <sheetViews>
    <sheetView workbookViewId="0">
      <selection activeCell="E7" sqref="E7"/>
    </sheetView>
  </sheetViews>
  <sheetFormatPr defaultRowHeight="15"/>
  <cols>
    <col min="1" max="2" width="9.85546875" customWidth="1"/>
    <col min="3" max="3" width="12.7109375" customWidth="1"/>
    <col min="4" max="4" width="14.140625" customWidth="1"/>
    <col min="5" max="5" width="64" customWidth="1"/>
    <col min="6" max="6" width="15.140625" customWidth="1"/>
    <col min="7" max="8" width="67.140625" customWidth="1"/>
  </cols>
  <sheetData>
    <row r="1" spans="1:8" ht="30.75">
      <c r="A1" s="54" t="s">
        <v>0</v>
      </c>
      <c r="B1" s="55" t="s">
        <v>15</v>
      </c>
      <c r="C1" s="54" t="s">
        <v>1</v>
      </c>
      <c r="D1" s="54" t="s">
        <v>266</v>
      </c>
      <c r="E1" s="54" t="s">
        <v>16</v>
      </c>
      <c r="F1" s="62" t="s">
        <v>17</v>
      </c>
      <c r="G1" s="49" t="s">
        <v>18</v>
      </c>
      <c r="H1" s="50" t="s">
        <v>19</v>
      </c>
    </row>
    <row r="2" spans="1:8" ht="36" customHeight="1">
      <c r="A2" s="112">
        <v>46142</v>
      </c>
      <c r="B2" s="111" t="s">
        <v>301</v>
      </c>
      <c r="C2" s="56" t="s">
        <v>5</v>
      </c>
      <c r="D2" s="48" t="s">
        <v>268</v>
      </c>
      <c r="E2" s="52" t="s">
        <v>328</v>
      </c>
      <c r="F2" s="33" t="s">
        <v>329</v>
      </c>
      <c r="G2" s="60" t="s">
        <v>315</v>
      </c>
      <c r="H2" s="61"/>
    </row>
    <row r="3" spans="1:8" ht="36" customHeight="1">
      <c r="A3" s="112"/>
      <c r="B3" s="111"/>
      <c r="C3" s="113" t="s">
        <v>325</v>
      </c>
      <c r="D3" s="48" t="s">
        <v>268</v>
      </c>
      <c r="E3" s="70" t="s">
        <v>313</v>
      </c>
      <c r="F3" s="33" t="s">
        <v>175</v>
      </c>
      <c r="G3" s="60"/>
      <c r="H3" s="61" t="s">
        <v>330</v>
      </c>
    </row>
    <row r="4" spans="1:8" ht="36" customHeight="1">
      <c r="A4" s="112"/>
      <c r="B4" s="111"/>
      <c r="C4" s="115"/>
      <c r="D4" s="48" t="s">
        <v>277</v>
      </c>
      <c r="E4" s="52" t="s">
        <v>327</v>
      </c>
      <c r="F4" s="33" t="s">
        <v>175</v>
      </c>
      <c r="G4" s="71"/>
      <c r="H4" s="61" t="s">
        <v>331</v>
      </c>
    </row>
    <row r="5" spans="1:8" ht="36" customHeight="1">
      <c r="A5" s="112"/>
      <c r="B5" s="111"/>
      <c r="C5" s="110" t="s">
        <v>28</v>
      </c>
      <c r="D5" s="48" t="s">
        <v>290</v>
      </c>
      <c r="E5" s="52" t="s">
        <v>310</v>
      </c>
      <c r="F5" s="33" t="s">
        <v>224</v>
      </c>
      <c r="G5" s="37" t="s">
        <v>291</v>
      </c>
      <c r="H5" s="36"/>
    </row>
    <row r="6" spans="1:8" ht="94.5" customHeight="1">
      <c r="A6" s="112"/>
      <c r="B6" s="111"/>
      <c r="C6" s="110"/>
      <c r="D6" s="48" t="s">
        <v>268</v>
      </c>
      <c r="E6" s="52" t="s">
        <v>320</v>
      </c>
      <c r="F6" s="68" t="s">
        <v>224</v>
      </c>
      <c r="G6" s="61" t="s">
        <v>332</v>
      </c>
      <c r="H6" s="72"/>
    </row>
    <row r="7" spans="1:8" ht="107.25" customHeight="1">
      <c r="A7" s="112"/>
      <c r="B7" s="111"/>
      <c r="C7" s="110"/>
      <c r="D7" s="48" t="s">
        <v>277</v>
      </c>
      <c r="E7" s="52" t="s">
        <v>323</v>
      </c>
      <c r="F7" s="33" t="s">
        <v>224</v>
      </c>
      <c r="G7" s="61" t="s">
        <v>333</v>
      </c>
      <c r="H7" s="61"/>
    </row>
    <row r="8" spans="1:8" ht="36" customHeight="1"/>
    <row r="9" spans="1:8" ht="36" customHeight="1"/>
  </sheetData>
  <mergeCells count="4">
    <mergeCell ref="C5:C7"/>
    <mergeCell ref="B2:B7"/>
    <mergeCell ref="A2:A7"/>
    <mergeCell ref="C3:C4"/>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86814-C7E4-43FE-B70A-2C9CB942D02D}">
  <dimension ref="A1:H7"/>
  <sheetViews>
    <sheetView workbookViewId="0">
      <selection activeCell="G9" sqref="G9"/>
    </sheetView>
  </sheetViews>
  <sheetFormatPr defaultRowHeight="15"/>
  <cols>
    <col min="1" max="1" width="10.140625" bestFit="1" customWidth="1"/>
    <col min="3" max="3" width="12.85546875" bestFit="1" customWidth="1"/>
    <col min="4" max="4" width="8.5703125" bestFit="1" customWidth="1"/>
    <col min="5" max="5" width="64.28515625" customWidth="1"/>
    <col min="6" max="6" width="13.42578125" bestFit="1" customWidth="1"/>
    <col min="7" max="8" width="59.42578125" customWidth="1"/>
  </cols>
  <sheetData>
    <row r="1" spans="1:8" ht="30.75">
      <c r="A1" s="54" t="s">
        <v>0</v>
      </c>
      <c r="B1" s="55" t="s">
        <v>15</v>
      </c>
      <c r="C1" s="54" t="s">
        <v>1</v>
      </c>
      <c r="D1" s="54" t="s">
        <v>266</v>
      </c>
      <c r="E1" s="54" t="s">
        <v>16</v>
      </c>
      <c r="F1" s="62" t="s">
        <v>17</v>
      </c>
      <c r="G1" s="49" t="s">
        <v>18</v>
      </c>
      <c r="H1" s="50" t="s">
        <v>19</v>
      </c>
    </row>
    <row r="2" spans="1:8" ht="59.25" customHeight="1">
      <c r="A2" s="112">
        <v>46143</v>
      </c>
      <c r="B2" s="111" t="s">
        <v>334</v>
      </c>
      <c r="C2" s="113" t="s">
        <v>5</v>
      </c>
      <c r="D2" s="48" t="s">
        <v>277</v>
      </c>
      <c r="E2" s="41" t="s">
        <v>335</v>
      </c>
      <c r="F2" s="33" t="s">
        <v>201</v>
      </c>
      <c r="G2" s="60" t="s">
        <v>315</v>
      </c>
      <c r="H2" s="61"/>
    </row>
    <row r="3" spans="1:8" ht="59.25" customHeight="1">
      <c r="A3" s="112"/>
      <c r="B3" s="111"/>
      <c r="C3" s="115"/>
      <c r="D3" s="48" t="s">
        <v>268</v>
      </c>
      <c r="E3" s="41" t="s">
        <v>336</v>
      </c>
      <c r="F3" s="33" t="s">
        <v>194</v>
      </c>
      <c r="G3" s="60" t="s">
        <v>315</v>
      </c>
      <c r="H3" s="61"/>
    </row>
    <row r="4" spans="1:8" ht="59.25" customHeight="1">
      <c r="A4" s="112"/>
      <c r="B4" s="111"/>
      <c r="C4" s="110" t="s">
        <v>28</v>
      </c>
      <c r="D4" s="48" t="s">
        <v>290</v>
      </c>
      <c r="E4" s="41" t="s">
        <v>310</v>
      </c>
      <c r="F4" s="33" t="s">
        <v>224</v>
      </c>
      <c r="G4" s="37" t="s">
        <v>291</v>
      </c>
      <c r="H4" s="36"/>
    </row>
    <row r="5" spans="1:8" ht="59.25" customHeight="1">
      <c r="A5" s="112"/>
      <c r="B5" s="111"/>
      <c r="C5" s="110"/>
      <c r="D5" s="48" t="s">
        <v>268</v>
      </c>
      <c r="E5" s="41" t="s">
        <v>320</v>
      </c>
      <c r="F5" s="68" t="s">
        <v>224</v>
      </c>
      <c r="G5" s="61" t="s">
        <v>332</v>
      </c>
      <c r="H5" s="72"/>
    </row>
    <row r="6" spans="1:8" ht="59.25" customHeight="1">
      <c r="A6" s="112"/>
      <c r="B6" s="111"/>
      <c r="C6" s="110"/>
      <c r="D6" s="48" t="s">
        <v>277</v>
      </c>
      <c r="E6" s="41" t="s">
        <v>323</v>
      </c>
      <c r="F6" s="33" t="s">
        <v>224</v>
      </c>
      <c r="G6" s="61" t="s">
        <v>333</v>
      </c>
      <c r="H6" s="61"/>
    </row>
    <row r="7" spans="1:8" ht="59.25" customHeight="1">
      <c r="A7" s="112"/>
      <c r="B7" s="111"/>
      <c r="C7" s="110"/>
      <c r="D7" s="48" t="s">
        <v>268</v>
      </c>
      <c r="E7" s="41" t="s">
        <v>328</v>
      </c>
      <c r="F7" s="33" t="s">
        <v>329</v>
      </c>
      <c r="G7" s="60" t="s">
        <v>315</v>
      </c>
      <c r="H7" s="61"/>
    </row>
  </sheetData>
  <mergeCells count="4">
    <mergeCell ref="A2:A7"/>
    <mergeCell ref="B2:B7"/>
    <mergeCell ref="C2:C3"/>
    <mergeCell ref="C4:C7"/>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2364D-3E4D-4452-AF5E-118BE470E81E}">
  <dimension ref="A1:H8"/>
  <sheetViews>
    <sheetView workbookViewId="0">
      <selection activeCell="H3" sqref="H3"/>
    </sheetView>
  </sheetViews>
  <sheetFormatPr defaultColWidth="9.28515625" defaultRowHeight="15"/>
  <cols>
    <col min="3" max="3" width="12.28515625" customWidth="1"/>
    <col min="4" max="4" width="11.5703125" customWidth="1"/>
    <col min="5" max="5" width="50.5703125" customWidth="1"/>
    <col min="6" max="6" width="13.28515625" customWidth="1"/>
    <col min="7" max="8" width="60.85546875" customWidth="1"/>
  </cols>
  <sheetData>
    <row r="1" spans="1:8" ht="30.75">
      <c r="A1" s="54" t="s">
        <v>0</v>
      </c>
      <c r="B1" s="55" t="s">
        <v>15</v>
      </c>
      <c r="C1" s="54" t="s">
        <v>1</v>
      </c>
      <c r="D1" s="54" t="s">
        <v>266</v>
      </c>
      <c r="E1" s="54" t="s">
        <v>16</v>
      </c>
      <c r="F1" s="62" t="s">
        <v>17</v>
      </c>
      <c r="G1" s="49" t="s">
        <v>18</v>
      </c>
      <c r="H1" s="50" t="s">
        <v>19</v>
      </c>
    </row>
    <row r="2" spans="1:8" ht="59.25" customHeight="1">
      <c r="A2" s="112">
        <v>46146</v>
      </c>
      <c r="B2" s="111" t="s">
        <v>337</v>
      </c>
      <c r="C2" s="56" t="s">
        <v>5</v>
      </c>
      <c r="D2" s="48" t="s">
        <v>277</v>
      </c>
      <c r="E2" s="41" t="s">
        <v>338</v>
      </c>
      <c r="F2" s="33" t="s">
        <v>294</v>
      </c>
      <c r="G2" s="60" t="s">
        <v>315</v>
      </c>
      <c r="H2" s="61"/>
    </row>
    <row r="3" spans="1:8" ht="59.25" customHeight="1">
      <c r="A3" s="112"/>
      <c r="B3" s="111"/>
      <c r="C3" s="56" t="s">
        <v>325</v>
      </c>
      <c r="D3" s="48" t="s">
        <v>277</v>
      </c>
      <c r="E3" s="41" t="s">
        <v>323</v>
      </c>
      <c r="F3" s="33" t="s">
        <v>224</v>
      </c>
      <c r="G3" s="61" t="s">
        <v>333</v>
      </c>
      <c r="H3" s="61" t="s">
        <v>339</v>
      </c>
    </row>
    <row r="4" spans="1:8" ht="59.25" customHeight="1">
      <c r="A4" s="112"/>
      <c r="B4" s="111"/>
      <c r="C4" s="110" t="s">
        <v>28</v>
      </c>
      <c r="D4" s="48" t="s">
        <v>290</v>
      </c>
      <c r="E4" s="41" t="s">
        <v>310</v>
      </c>
      <c r="F4" s="33" t="s">
        <v>224</v>
      </c>
      <c r="G4" s="37" t="s">
        <v>291</v>
      </c>
      <c r="H4" s="36"/>
    </row>
    <row r="5" spans="1:8" ht="59.25" customHeight="1">
      <c r="A5" s="112"/>
      <c r="B5" s="111"/>
      <c r="C5" s="110"/>
      <c r="D5" s="48" t="s">
        <v>268</v>
      </c>
      <c r="E5" s="41" t="s">
        <v>320</v>
      </c>
      <c r="F5" s="68" t="s">
        <v>224</v>
      </c>
      <c r="G5" s="61" t="s">
        <v>332</v>
      </c>
      <c r="H5" s="72"/>
    </row>
    <row r="6" spans="1:8" ht="59.25" customHeight="1">
      <c r="A6" s="112"/>
      <c r="B6" s="111"/>
      <c r="C6" s="110"/>
      <c r="D6" s="48" t="s">
        <v>268</v>
      </c>
      <c r="E6" s="41" t="s">
        <v>328</v>
      </c>
      <c r="F6" s="33" t="s">
        <v>329</v>
      </c>
      <c r="G6" s="60" t="s">
        <v>315</v>
      </c>
      <c r="H6" s="61"/>
    </row>
    <row r="7" spans="1:8" ht="43.5">
      <c r="A7" s="112"/>
      <c r="B7" s="111"/>
      <c r="C7" s="110"/>
      <c r="D7" s="48" t="s">
        <v>277</v>
      </c>
      <c r="E7" s="41" t="s">
        <v>335</v>
      </c>
      <c r="F7" s="33" t="s">
        <v>201</v>
      </c>
      <c r="G7" s="60" t="s">
        <v>315</v>
      </c>
      <c r="H7" s="61"/>
    </row>
    <row r="8" spans="1:8" ht="43.5">
      <c r="A8" s="112"/>
      <c r="B8" s="111"/>
      <c r="C8" s="110"/>
      <c r="D8" s="48" t="s">
        <v>268</v>
      </c>
      <c r="E8" s="41" t="s">
        <v>336</v>
      </c>
      <c r="F8" s="33" t="s">
        <v>194</v>
      </c>
      <c r="G8" s="60" t="s">
        <v>315</v>
      </c>
      <c r="H8" s="61"/>
    </row>
  </sheetData>
  <mergeCells count="3">
    <mergeCell ref="C4:C8"/>
    <mergeCell ref="B2:B8"/>
    <mergeCell ref="A2:A8"/>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2C8B0-15AB-4B41-99DD-D74C3E3B6192}">
  <dimension ref="A1:H10"/>
  <sheetViews>
    <sheetView workbookViewId="0">
      <selection activeCell="H3" sqref="H3"/>
    </sheetView>
  </sheetViews>
  <sheetFormatPr defaultRowHeight="15"/>
  <cols>
    <col min="1" max="1" width="9" bestFit="1" customWidth="1"/>
    <col min="3" max="3" width="12.85546875" bestFit="1" customWidth="1"/>
    <col min="4" max="4" width="8.5703125" bestFit="1" customWidth="1"/>
    <col min="5" max="5" width="60.85546875" customWidth="1"/>
    <col min="6" max="6" width="17" customWidth="1"/>
    <col min="7" max="8" width="64.42578125" customWidth="1"/>
  </cols>
  <sheetData>
    <row r="1" spans="1:8" ht="30.75">
      <c r="A1" s="54" t="s">
        <v>0</v>
      </c>
      <c r="B1" s="55" t="s">
        <v>15</v>
      </c>
      <c r="C1" s="54" t="s">
        <v>1</v>
      </c>
      <c r="D1" s="54" t="s">
        <v>266</v>
      </c>
      <c r="E1" s="54" t="s">
        <v>16</v>
      </c>
      <c r="F1" s="62" t="s">
        <v>17</v>
      </c>
      <c r="G1" s="49" t="s">
        <v>18</v>
      </c>
      <c r="H1" s="50" t="s">
        <v>19</v>
      </c>
    </row>
    <row r="2" spans="1:8" ht="32.25" customHeight="1">
      <c r="A2" s="112">
        <v>46147</v>
      </c>
      <c r="B2" s="111" t="s">
        <v>337</v>
      </c>
      <c r="C2" s="56" t="s">
        <v>5</v>
      </c>
      <c r="D2" s="66" t="s">
        <v>268</v>
      </c>
      <c r="E2" s="41" t="s">
        <v>340</v>
      </c>
      <c r="F2" s="33" t="s">
        <v>294</v>
      </c>
      <c r="G2" s="60" t="s">
        <v>315</v>
      </c>
      <c r="H2" s="61"/>
    </row>
    <row r="3" spans="1:8" ht="32.25" customHeight="1">
      <c r="A3" s="112"/>
      <c r="B3" s="111"/>
      <c r="C3" s="56" t="s">
        <v>325</v>
      </c>
      <c r="D3" s="66" t="s">
        <v>341</v>
      </c>
      <c r="E3" s="41" t="s">
        <v>328</v>
      </c>
      <c r="F3" s="33" t="s">
        <v>342</v>
      </c>
      <c r="G3" s="60" t="s">
        <v>315</v>
      </c>
      <c r="H3" s="61" t="s">
        <v>343</v>
      </c>
    </row>
    <row r="4" spans="1:8" ht="32.25" customHeight="1">
      <c r="A4" s="112"/>
      <c r="B4" s="111"/>
      <c r="C4" s="110" t="s">
        <v>28</v>
      </c>
      <c r="D4" s="66" t="s">
        <v>290</v>
      </c>
      <c r="E4" s="41" t="s">
        <v>310</v>
      </c>
      <c r="F4" s="33" t="s">
        <v>224</v>
      </c>
      <c r="G4" s="37" t="s">
        <v>291</v>
      </c>
      <c r="H4" s="36"/>
    </row>
    <row r="5" spans="1:8" ht="32.25" customHeight="1">
      <c r="A5" s="112"/>
      <c r="B5" s="111"/>
      <c r="C5" s="110"/>
      <c r="D5" s="66" t="s">
        <v>268</v>
      </c>
      <c r="E5" s="41" t="s">
        <v>320</v>
      </c>
      <c r="F5" s="68" t="s">
        <v>224</v>
      </c>
      <c r="G5" s="61" t="s">
        <v>332</v>
      </c>
      <c r="H5" s="72"/>
    </row>
    <row r="6" spans="1:8" ht="32.25" customHeight="1">
      <c r="A6" s="112"/>
      <c r="B6" s="111"/>
      <c r="C6" s="110"/>
      <c r="D6" s="66" t="s">
        <v>277</v>
      </c>
      <c r="E6" s="41" t="s">
        <v>335</v>
      </c>
      <c r="F6" s="33" t="s">
        <v>201</v>
      </c>
      <c r="G6" s="60" t="s">
        <v>315</v>
      </c>
      <c r="H6" s="61"/>
    </row>
    <row r="7" spans="1:8" ht="32.25" customHeight="1">
      <c r="A7" s="112"/>
      <c r="B7" s="111"/>
      <c r="C7" s="110"/>
      <c r="D7" s="66" t="s">
        <v>268</v>
      </c>
      <c r="E7" s="41" t="s">
        <v>336</v>
      </c>
      <c r="F7" s="33" t="s">
        <v>194</v>
      </c>
      <c r="G7" s="60" t="s">
        <v>315</v>
      </c>
      <c r="H7" s="61"/>
    </row>
    <row r="8" spans="1:8" ht="32.25" customHeight="1">
      <c r="A8" s="112"/>
      <c r="B8" s="111"/>
      <c r="C8" s="110"/>
      <c r="D8" s="66" t="s">
        <v>277</v>
      </c>
      <c r="E8" s="41" t="s">
        <v>338</v>
      </c>
      <c r="F8" s="33" t="s">
        <v>294</v>
      </c>
      <c r="G8" s="60" t="s">
        <v>315</v>
      </c>
      <c r="H8" s="61"/>
    </row>
    <row r="9" spans="1:8" ht="32.25" customHeight="1"/>
    <row r="10" spans="1:8" ht="32.25" customHeight="1"/>
  </sheetData>
  <mergeCells count="3">
    <mergeCell ref="C4:C8"/>
    <mergeCell ref="B2:B8"/>
    <mergeCell ref="A2:A8"/>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E4D1A-3FB8-4B6C-B10C-CC9A7D7B769E}">
  <dimension ref="A1:H10"/>
  <sheetViews>
    <sheetView workbookViewId="0">
      <selection activeCell="E5" sqref="E5"/>
    </sheetView>
  </sheetViews>
  <sheetFormatPr defaultRowHeight="15"/>
  <cols>
    <col min="1" max="1" width="9" bestFit="1" customWidth="1"/>
    <col min="2" max="2" width="11.42578125" customWidth="1"/>
    <col min="3" max="3" width="16.7109375" customWidth="1"/>
    <col min="4" max="4" width="9.42578125" customWidth="1"/>
    <col min="5" max="5" width="59.140625" customWidth="1"/>
    <col min="6" max="6" width="17" customWidth="1"/>
    <col min="7" max="7" width="70.28515625" customWidth="1"/>
    <col min="8" max="8" width="63.28515625" customWidth="1"/>
  </cols>
  <sheetData>
    <row r="1" spans="1:8" ht="15.75">
      <c r="A1" s="54" t="s">
        <v>0</v>
      </c>
      <c r="B1" s="55" t="s">
        <v>15</v>
      </c>
      <c r="C1" s="54" t="s">
        <v>1</v>
      </c>
      <c r="D1" s="54" t="s">
        <v>266</v>
      </c>
      <c r="E1" s="54" t="s">
        <v>16</v>
      </c>
      <c r="F1" s="62" t="s">
        <v>17</v>
      </c>
      <c r="G1" s="49" t="s">
        <v>18</v>
      </c>
      <c r="H1" s="50" t="s">
        <v>19</v>
      </c>
    </row>
    <row r="2" spans="1:8" ht="51" customHeight="1">
      <c r="A2" s="112">
        <v>46148</v>
      </c>
      <c r="B2" s="111" t="s">
        <v>334</v>
      </c>
      <c r="C2" s="113" t="s">
        <v>5</v>
      </c>
      <c r="D2" s="48" t="s">
        <v>277</v>
      </c>
      <c r="E2" s="52" t="s">
        <v>344</v>
      </c>
      <c r="F2" s="33" t="s">
        <v>314</v>
      </c>
      <c r="G2" s="60" t="s">
        <v>315</v>
      </c>
      <c r="H2" s="61"/>
    </row>
    <row r="3" spans="1:8" ht="51" customHeight="1">
      <c r="A3" s="112"/>
      <c r="B3" s="111"/>
      <c r="C3" s="115"/>
      <c r="D3" s="48" t="s">
        <v>268</v>
      </c>
      <c r="E3" s="52" t="s">
        <v>345</v>
      </c>
      <c r="F3" s="33" t="s">
        <v>194</v>
      </c>
      <c r="G3" s="60" t="s">
        <v>315</v>
      </c>
      <c r="H3" s="61"/>
    </row>
    <row r="4" spans="1:8" ht="51" customHeight="1">
      <c r="A4" s="112"/>
      <c r="B4" s="111"/>
      <c r="C4" s="113" t="s">
        <v>325</v>
      </c>
      <c r="D4" s="48" t="s">
        <v>268</v>
      </c>
      <c r="E4" s="52" t="s">
        <v>336</v>
      </c>
      <c r="F4" s="33" t="s">
        <v>194</v>
      </c>
      <c r="G4" s="60" t="s">
        <v>315</v>
      </c>
      <c r="H4" s="61" t="s">
        <v>346</v>
      </c>
    </row>
    <row r="5" spans="1:8" ht="51" customHeight="1">
      <c r="A5" s="112"/>
      <c r="B5" s="111"/>
      <c r="C5" s="115"/>
      <c r="D5" s="48" t="s">
        <v>268</v>
      </c>
      <c r="E5" s="52" t="s">
        <v>347</v>
      </c>
      <c r="F5" s="33" t="s">
        <v>348</v>
      </c>
      <c r="G5" s="73"/>
      <c r="H5" s="61" t="s">
        <v>349</v>
      </c>
    </row>
    <row r="6" spans="1:8" ht="51" customHeight="1">
      <c r="A6" s="112"/>
      <c r="B6" s="111"/>
      <c r="C6" s="110" t="s">
        <v>28</v>
      </c>
      <c r="D6" s="48" t="s">
        <v>290</v>
      </c>
      <c r="E6" s="52" t="s">
        <v>310</v>
      </c>
      <c r="F6" s="33" t="s">
        <v>224</v>
      </c>
      <c r="G6" s="37" t="s">
        <v>291</v>
      </c>
      <c r="H6" s="36"/>
    </row>
    <row r="7" spans="1:8" ht="81" customHeight="1">
      <c r="A7" s="112"/>
      <c r="B7" s="111"/>
      <c r="C7" s="110"/>
      <c r="D7" s="48" t="s">
        <v>268</v>
      </c>
      <c r="E7" s="52" t="s">
        <v>320</v>
      </c>
      <c r="F7" s="68" t="s">
        <v>224</v>
      </c>
      <c r="G7" s="61" t="s">
        <v>350</v>
      </c>
      <c r="H7" s="72"/>
    </row>
    <row r="8" spans="1:8" ht="51" customHeight="1">
      <c r="A8" s="112"/>
      <c r="B8" s="111"/>
      <c r="C8" s="110"/>
      <c r="D8" s="48" t="s">
        <v>277</v>
      </c>
      <c r="E8" s="52" t="s">
        <v>335</v>
      </c>
      <c r="F8" s="33" t="s">
        <v>201</v>
      </c>
      <c r="G8" s="61" t="s">
        <v>351</v>
      </c>
      <c r="H8" s="61"/>
    </row>
    <row r="9" spans="1:8" ht="78" customHeight="1">
      <c r="A9" s="112"/>
      <c r="B9" s="111"/>
      <c r="C9" s="110"/>
      <c r="D9" s="48" t="s">
        <v>277</v>
      </c>
      <c r="E9" s="52" t="s">
        <v>338</v>
      </c>
      <c r="F9" s="33" t="s">
        <v>294</v>
      </c>
      <c r="G9" s="61" t="s">
        <v>352</v>
      </c>
      <c r="H9" s="61"/>
    </row>
    <row r="10" spans="1:8" ht="79.5" customHeight="1">
      <c r="A10" s="112"/>
      <c r="B10" s="111"/>
      <c r="C10" s="110"/>
      <c r="D10" s="48" t="s">
        <v>268</v>
      </c>
      <c r="E10" s="52" t="s">
        <v>340</v>
      </c>
      <c r="F10" s="33" t="s">
        <v>294</v>
      </c>
      <c r="G10" s="61" t="s">
        <v>352</v>
      </c>
      <c r="H10" s="61"/>
    </row>
  </sheetData>
  <mergeCells count="5">
    <mergeCell ref="C6:C10"/>
    <mergeCell ref="B2:B10"/>
    <mergeCell ref="A2:A10"/>
    <mergeCell ref="C4:C5"/>
    <mergeCell ref="C2:C3"/>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0CA3A-203F-43FA-9991-2704DACFF9CB}">
  <dimension ref="A1:H13"/>
  <sheetViews>
    <sheetView workbookViewId="0"/>
  </sheetViews>
  <sheetFormatPr defaultRowHeight="15"/>
  <cols>
    <col min="1" max="2" width="11.5703125" customWidth="1"/>
    <col min="3" max="3" width="13.7109375" customWidth="1"/>
    <col min="4" max="4" width="10.7109375" customWidth="1"/>
    <col min="5" max="5" width="61.85546875" customWidth="1"/>
    <col min="6" max="6" width="19.42578125" customWidth="1"/>
    <col min="7" max="7" width="70.85546875" customWidth="1"/>
    <col min="8" max="8" width="80.140625" customWidth="1"/>
  </cols>
  <sheetData>
    <row r="1" spans="1:8" ht="15.75">
      <c r="A1" s="54" t="s">
        <v>0</v>
      </c>
      <c r="B1" s="55" t="s">
        <v>15</v>
      </c>
      <c r="C1" s="54" t="s">
        <v>1</v>
      </c>
      <c r="D1" s="54" t="s">
        <v>266</v>
      </c>
      <c r="E1" s="54" t="s">
        <v>16</v>
      </c>
      <c r="F1" s="62" t="s">
        <v>17</v>
      </c>
      <c r="G1" s="49" t="s">
        <v>18</v>
      </c>
      <c r="H1" s="50" t="s">
        <v>19</v>
      </c>
    </row>
    <row r="2" spans="1:8" ht="48" customHeight="1">
      <c r="A2" s="112" t="s">
        <v>353</v>
      </c>
      <c r="B2" s="111" t="s">
        <v>354</v>
      </c>
      <c r="C2" s="110" t="s">
        <v>24</v>
      </c>
      <c r="D2" s="66" t="s">
        <v>355</v>
      </c>
      <c r="E2" s="52" t="s">
        <v>356</v>
      </c>
      <c r="F2" s="33" t="s">
        <v>357</v>
      </c>
      <c r="G2" s="60" t="s">
        <v>315</v>
      </c>
      <c r="H2" s="61"/>
    </row>
    <row r="3" spans="1:8" ht="48" customHeight="1">
      <c r="A3" s="112"/>
      <c r="B3" s="111"/>
      <c r="C3" s="110"/>
      <c r="D3" s="66" t="s">
        <v>268</v>
      </c>
      <c r="E3" s="52" t="s">
        <v>358</v>
      </c>
      <c r="F3" s="33" t="s">
        <v>224</v>
      </c>
      <c r="G3" s="60"/>
      <c r="H3" s="61"/>
    </row>
    <row r="4" spans="1:8" ht="48" customHeight="1">
      <c r="A4" s="112"/>
      <c r="B4" s="111"/>
      <c r="C4" s="43"/>
      <c r="D4" s="66" t="s">
        <v>268</v>
      </c>
      <c r="E4" s="52" t="s">
        <v>359</v>
      </c>
      <c r="F4" s="33"/>
      <c r="G4" s="60" t="s">
        <v>360</v>
      </c>
      <c r="H4" s="61"/>
    </row>
    <row r="5" spans="1:8" ht="49.5" customHeight="1">
      <c r="A5" s="112"/>
      <c r="B5" s="111"/>
      <c r="C5" s="113" t="s">
        <v>325</v>
      </c>
      <c r="D5" s="66" t="s">
        <v>361</v>
      </c>
      <c r="E5" s="52" t="s">
        <v>362</v>
      </c>
      <c r="F5" s="33" t="s">
        <v>314</v>
      </c>
      <c r="G5" s="60" t="s">
        <v>363</v>
      </c>
      <c r="H5" s="61" t="s">
        <v>364</v>
      </c>
    </row>
    <row r="6" spans="1:8" ht="49.5" customHeight="1">
      <c r="A6" s="112"/>
      <c r="B6" s="111"/>
      <c r="C6" s="114"/>
      <c r="D6" s="66" t="s">
        <v>290</v>
      </c>
      <c r="E6" s="52" t="s">
        <v>310</v>
      </c>
      <c r="F6" s="33" t="s">
        <v>224</v>
      </c>
      <c r="G6" s="37" t="s">
        <v>291</v>
      </c>
      <c r="H6" s="61" t="s">
        <v>365</v>
      </c>
    </row>
    <row r="7" spans="1:8" ht="79.5" customHeight="1">
      <c r="A7" s="112"/>
      <c r="B7" s="111"/>
      <c r="C7" s="114"/>
      <c r="D7" s="66" t="s">
        <v>355</v>
      </c>
      <c r="E7" s="52" t="s">
        <v>344</v>
      </c>
      <c r="F7" s="33" t="s">
        <v>314</v>
      </c>
      <c r="G7" s="61" t="s">
        <v>366</v>
      </c>
      <c r="H7" s="72" t="s">
        <v>367</v>
      </c>
    </row>
    <row r="8" spans="1:8" ht="79.5" customHeight="1">
      <c r="A8" s="112"/>
      <c r="B8" s="111"/>
      <c r="C8" s="115"/>
      <c r="D8" s="66" t="s">
        <v>268</v>
      </c>
      <c r="E8" s="52" t="s">
        <v>368</v>
      </c>
      <c r="F8" s="33" t="s">
        <v>314</v>
      </c>
      <c r="G8" s="60" t="s">
        <v>369</v>
      </c>
      <c r="H8" s="72" t="s">
        <v>370</v>
      </c>
    </row>
    <row r="9" spans="1:8" ht="52.5" customHeight="1">
      <c r="A9" s="112"/>
      <c r="B9" s="111"/>
      <c r="C9" s="110" t="s">
        <v>371</v>
      </c>
      <c r="D9" s="66" t="s">
        <v>268</v>
      </c>
      <c r="E9" s="52" t="s">
        <v>320</v>
      </c>
      <c r="F9" s="68" t="s">
        <v>224</v>
      </c>
      <c r="G9" s="61" t="s">
        <v>372</v>
      </c>
      <c r="H9" s="72"/>
    </row>
    <row r="10" spans="1:8" ht="52.5" customHeight="1">
      <c r="A10" s="112"/>
      <c r="B10" s="111"/>
      <c r="C10" s="110"/>
      <c r="D10" s="66" t="s">
        <v>277</v>
      </c>
      <c r="E10" s="52" t="s">
        <v>335</v>
      </c>
      <c r="F10" s="33" t="s">
        <v>201</v>
      </c>
      <c r="G10" s="61" t="s">
        <v>351</v>
      </c>
      <c r="H10" s="61"/>
    </row>
    <row r="11" spans="1:8" ht="48.75" customHeight="1">
      <c r="A11" s="112"/>
      <c r="B11" s="111"/>
      <c r="C11" s="110"/>
      <c r="D11" s="66" t="s">
        <v>277</v>
      </c>
      <c r="E11" s="52" t="s">
        <v>338</v>
      </c>
      <c r="F11" s="33" t="s">
        <v>294</v>
      </c>
      <c r="G11" s="61" t="s">
        <v>352</v>
      </c>
      <c r="H11" s="61"/>
    </row>
    <row r="12" spans="1:8" ht="48.75" customHeight="1">
      <c r="A12" s="112"/>
      <c r="B12" s="111"/>
      <c r="C12" s="110"/>
      <c r="D12" s="66" t="s">
        <v>268</v>
      </c>
      <c r="E12" s="52" t="s">
        <v>340</v>
      </c>
      <c r="F12" s="33" t="s">
        <v>294</v>
      </c>
      <c r="G12" s="61" t="s">
        <v>352</v>
      </c>
      <c r="H12" s="61"/>
    </row>
    <row r="13" spans="1:8" ht="43.5">
      <c r="A13" s="112"/>
      <c r="B13" s="111"/>
      <c r="C13" s="110"/>
      <c r="D13" s="66" t="s">
        <v>268</v>
      </c>
      <c r="E13" s="52" t="s">
        <v>345</v>
      </c>
      <c r="F13" s="33" t="s">
        <v>194</v>
      </c>
      <c r="G13" s="60" t="s">
        <v>373</v>
      </c>
      <c r="H13" s="61"/>
    </row>
  </sheetData>
  <mergeCells count="5">
    <mergeCell ref="C2:C3"/>
    <mergeCell ref="C9:C13"/>
    <mergeCell ref="B2:B13"/>
    <mergeCell ref="A2:A13"/>
    <mergeCell ref="C5:C8"/>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BB658-E734-4FC3-985B-7A1979FB5902}">
  <dimension ref="A1:I11"/>
  <sheetViews>
    <sheetView workbookViewId="0">
      <selection activeCell="I5" sqref="I5"/>
    </sheetView>
  </sheetViews>
  <sheetFormatPr defaultRowHeight="15"/>
  <cols>
    <col min="1" max="3" width="11.140625" customWidth="1"/>
    <col min="4" max="4" width="15" customWidth="1"/>
    <col min="5" max="5" width="10.7109375" customWidth="1"/>
    <col min="6" max="6" width="62.7109375" customWidth="1"/>
    <col min="7" max="7" width="14.140625" customWidth="1"/>
    <col min="8" max="9" width="67.85546875" customWidth="1"/>
  </cols>
  <sheetData>
    <row r="1" spans="1:9" ht="15.75">
      <c r="A1" s="54" t="s">
        <v>0</v>
      </c>
      <c r="B1" s="55" t="s">
        <v>15</v>
      </c>
      <c r="C1" s="55"/>
      <c r="D1" s="54" t="s">
        <v>1</v>
      </c>
      <c r="E1" s="54" t="s">
        <v>266</v>
      </c>
      <c r="F1" s="54" t="s">
        <v>16</v>
      </c>
      <c r="G1" s="62" t="s">
        <v>17</v>
      </c>
      <c r="H1" s="49" t="s">
        <v>18</v>
      </c>
      <c r="I1" s="50" t="s">
        <v>19</v>
      </c>
    </row>
    <row r="2" spans="1:9" ht="50.25" customHeight="1">
      <c r="A2" s="112" t="s">
        <v>374</v>
      </c>
      <c r="B2" s="111" t="s">
        <v>334</v>
      </c>
      <c r="C2" s="140" t="s">
        <v>375</v>
      </c>
      <c r="D2" s="113" t="s">
        <v>24</v>
      </c>
      <c r="E2" s="48" t="s">
        <v>355</v>
      </c>
      <c r="F2" s="52" t="s">
        <v>376</v>
      </c>
      <c r="G2" s="33" t="s">
        <v>377</v>
      </c>
      <c r="H2" s="60" t="s">
        <v>315</v>
      </c>
      <c r="I2" s="61"/>
    </row>
    <row r="3" spans="1:9" ht="50.25" customHeight="1">
      <c r="A3" s="112"/>
      <c r="B3" s="111"/>
      <c r="C3" s="141"/>
      <c r="D3" s="115"/>
      <c r="E3" s="48" t="s">
        <v>268</v>
      </c>
      <c r="F3" s="52" t="s">
        <v>378</v>
      </c>
      <c r="G3" s="33" t="s">
        <v>379</v>
      </c>
      <c r="H3" s="60" t="s">
        <v>315</v>
      </c>
      <c r="I3" s="61"/>
    </row>
    <row r="4" spans="1:9" ht="50.25" customHeight="1">
      <c r="A4" s="112"/>
      <c r="B4" s="111"/>
      <c r="C4" s="141"/>
      <c r="D4" s="113" t="s">
        <v>325</v>
      </c>
      <c r="E4" s="48" t="s">
        <v>268</v>
      </c>
      <c r="F4" s="52" t="s">
        <v>345</v>
      </c>
      <c r="G4" s="33" t="s">
        <v>194</v>
      </c>
      <c r="H4" s="60" t="s">
        <v>373</v>
      </c>
      <c r="I4" s="61" t="s">
        <v>380</v>
      </c>
    </row>
    <row r="5" spans="1:9" ht="50.25" customHeight="1">
      <c r="A5" s="112"/>
      <c r="B5" s="111"/>
      <c r="C5" s="141"/>
      <c r="D5" s="114"/>
      <c r="E5" s="48" t="s">
        <v>268</v>
      </c>
      <c r="F5" s="52" t="s">
        <v>338</v>
      </c>
      <c r="G5" s="33" t="s">
        <v>294</v>
      </c>
      <c r="H5" s="61" t="s">
        <v>352</v>
      </c>
      <c r="I5" s="61" t="s">
        <v>381</v>
      </c>
    </row>
    <row r="6" spans="1:9" ht="50.25" customHeight="1">
      <c r="A6" s="112"/>
      <c r="B6" s="111"/>
      <c r="C6" s="141"/>
      <c r="D6" s="114"/>
      <c r="E6" s="48" t="s">
        <v>268</v>
      </c>
      <c r="F6" s="52" t="s">
        <v>340</v>
      </c>
      <c r="G6" s="33" t="s">
        <v>294</v>
      </c>
      <c r="H6" s="61" t="s">
        <v>352</v>
      </c>
      <c r="I6" s="61" t="s">
        <v>382</v>
      </c>
    </row>
    <row r="7" spans="1:9" ht="50.25" customHeight="1">
      <c r="A7" s="112"/>
      <c r="B7" s="111"/>
      <c r="C7" s="141"/>
      <c r="D7" s="115"/>
      <c r="E7" s="48" t="s">
        <v>268</v>
      </c>
      <c r="F7" s="52" t="s">
        <v>358</v>
      </c>
      <c r="G7" s="33" t="s">
        <v>224</v>
      </c>
      <c r="H7" s="60" t="s">
        <v>383</v>
      </c>
      <c r="I7" s="72" t="s">
        <v>384</v>
      </c>
    </row>
    <row r="8" spans="1:9" ht="50.25" customHeight="1">
      <c r="A8" s="112"/>
      <c r="B8" s="111"/>
      <c r="C8" s="141"/>
      <c r="D8" s="110" t="s">
        <v>371</v>
      </c>
      <c r="E8" s="48" t="s">
        <v>268</v>
      </c>
      <c r="F8" s="52" t="s">
        <v>320</v>
      </c>
      <c r="G8" s="68" t="s">
        <v>224</v>
      </c>
      <c r="H8" s="61" t="s">
        <v>372</v>
      </c>
      <c r="I8" s="72"/>
    </row>
    <row r="9" spans="1:9" ht="50.25" customHeight="1">
      <c r="A9" s="112"/>
      <c r="B9" s="111"/>
      <c r="C9" s="141"/>
      <c r="D9" s="110"/>
      <c r="E9" s="48" t="s">
        <v>277</v>
      </c>
      <c r="F9" s="52" t="s">
        <v>335</v>
      </c>
      <c r="G9" s="33" t="s">
        <v>201</v>
      </c>
      <c r="H9" s="61" t="s">
        <v>351</v>
      </c>
      <c r="I9" s="61"/>
    </row>
    <row r="10" spans="1:9" ht="40.5" customHeight="1">
      <c r="A10" s="112"/>
      <c r="B10" s="111"/>
      <c r="C10" s="141"/>
      <c r="D10" s="110"/>
      <c r="E10" s="48" t="s">
        <v>355</v>
      </c>
      <c r="F10" s="52" t="s">
        <v>356</v>
      </c>
      <c r="G10" s="33" t="s">
        <v>357</v>
      </c>
      <c r="H10" s="60" t="s">
        <v>315</v>
      </c>
      <c r="I10" s="61"/>
    </row>
    <row r="11" spans="1:9" ht="42" customHeight="1">
      <c r="A11" s="112"/>
      <c r="B11" s="111"/>
      <c r="C11" s="142"/>
      <c r="D11" s="110"/>
      <c r="E11" s="48" t="s">
        <v>268</v>
      </c>
      <c r="F11" s="52" t="s">
        <v>359</v>
      </c>
      <c r="G11" s="33" t="s">
        <v>294</v>
      </c>
      <c r="H11" s="60" t="s">
        <v>315</v>
      </c>
      <c r="I11" s="61"/>
    </row>
  </sheetData>
  <mergeCells count="6">
    <mergeCell ref="D8:D11"/>
    <mergeCell ref="B2:B11"/>
    <mergeCell ref="A2:A11"/>
    <mergeCell ref="D4:D7"/>
    <mergeCell ref="C2:C11"/>
    <mergeCell ref="D2:D3"/>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64D27-3376-4153-BB81-122D1BEACD31}">
  <dimension ref="A1:I12"/>
  <sheetViews>
    <sheetView workbookViewId="0">
      <selection activeCell="I6" sqref="I6"/>
    </sheetView>
  </sheetViews>
  <sheetFormatPr defaultRowHeight="15"/>
  <cols>
    <col min="1" max="1" width="10.42578125" customWidth="1"/>
    <col min="2" max="2" width="11" customWidth="1"/>
    <col min="3" max="3" width="8.28515625" customWidth="1"/>
    <col min="4" max="4" width="12.85546875" bestFit="1" customWidth="1"/>
    <col min="5" max="5" width="8.5703125" bestFit="1" customWidth="1"/>
    <col min="6" max="6" width="51" customWidth="1"/>
    <col min="7" max="7" width="13.42578125" bestFit="1" customWidth="1"/>
    <col min="8" max="9" width="60" customWidth="1"/>
  </cols>
  <sheetData>
    <row r="1" spans="1:9" ht="30.75">
      <c r="A1" s="54" t="s">
        <v>0</v>
      </c>
      <c r="B1" s="55" t="s">
        <v>15</v>
      </c>
      <c r="C1" s="55"/>
      <c r="D1" s="54" t="s">
        <v>1</v>
      </c>
      <c r="E1" s="54" t="s">
        <v>266</v>
      </c>
      <c r="F1" s="54" t="s">
        <v>16</v>
      </c>
      <c r="G1" s="62" t="s">
        <v>17</v>
      </c>
      <c r="H1" s="49" t="s">
        <v>18</v>
      </c>
      <c r="I1" s="50" t="s">
        <v>19</v>
      </c>
    </row>
    <row r="2" spans="1:9" ht="48.75" customHeight="1">
      <c r="A2" s="112" t="s">
        <v>385</v>
      </c>
      <c r="B2" s="111" t="s">
        <v>386</v>
      </c>
      <c r="C2" s="111" t="s">
        <v>375</v>
      </c>
      <c r="D2" s="110" t="s">
        <v>24</v>
      </c>
      <c r="E2" s="66" t="s">
        <v>355</v>
      </c>
      <c r="F2" s="52" t="s">
        <v>387</v>
      </c>
      <c r="G2" s="33" t="s">
        <v>388</v>
      </c>
      <c r="H2" s="60" t="s">
        <v>315</v>
      </c>
      <c r="I2" s="61"/>
    </row>
    <row r="3" spans="1:9" ht="48.75" customHeight="1">
      <c r="A3" s="112"/>
      <c r="B3" s="111"/>
      <c r="C3" s="111"/>
      <c r="D3" s="110"/>
      <c r="E3" s="66" t="s">
        <v>355</v>
      </c>
      <c r="F3" s="52" t="s">
        <v>389</v>
      </c>
      <c r="G3" s="33" t="s">
        <v>201</v>
      </c>
      <c r="H3" s="60" t="s">
        <v>315</v>
      </c>
      <c r="I3" s="61"/>
    </row>
    <row r="4" spans="1:9" ht="48.75" customHeight="1">
      <c r="A4" s="112"/>
      <c r="B4" s="111"/>
      <c r="C4" s="111"/>
      <c r="D4" s="110"/>
      <c r="E4" s="66" t="s">
        <v>268</v>
      </c>
      <c r="F4" s="52" t="s">
        <v>390</v>
      </c>
      <c r="G4" s="33" t="s">
        <v>294</v>
      </c>
      <c r="H4" s="60" t="s">
        <v>315</v>
      </c>
      <c r="I4" s="61"/>
    </row>
    <row r="5" spans="1:9" ht="48.75" customHeight="1">
      <c r="A5" s="112"/>
      <c r="B5" s="111"/>
      <c r="C5" s="111"/>
      <c r="D5" s="110" t="s">
        <v>325</v>
      </c>
      <c r="E5" s="66" t="s">
        <v>355</v>
      </c>
      <c r="F5" s="52" t="s">
        <v>239</v>
      </c>
      <c r="G5" s="33" t="s">
        <v>391</v>
      </c>
      <c r="H5" s="60"/>
      <c r="I5" s="61" t="s">
        <v>392</v>
      </c>
    </row>
    <row r="6" spans="1:9" ht="48.75" customHeight="1">
      <c r="A6" s="112"/>
      <c r="B6" s="111"/>
      <c r="C6" s="111"/>
      <c r="D6" s="110"/>
      <c r="E6" s="66" t="s">
        <v>355</v>
      </c>
      <c r="F6" s="52" t="s">
        <v>393</v>
      </c>
      <c r="G6" s="33" t="s">
        <v>196</v>
      </c>
      <c r="H6" s="61"/>
      <c r="I6" s="61" t="s">
        <v>394</v>
      </c>
    </row>
    <row r="7" spans="1:9" ht="48.75" customHeight="1">
      <c r="A7" s="112"/>
      <c r="B7" s="111"/>
      <c r="C7" s="111"/>
      <c r="D7" s="110" t="s">
        <v>371</v>
      </c>
      <c r="E7" s="66" t="s">
        <v>268</v>
      </c>
      <c r="F7" s="52" t="s">
        <v>320</v>
      </c>
      <c r="G7" s="68" t="s">
        <v>224</v>
      </c>
      <c r="H7" s="61" t="s">
        <v>372</v>
      </c>
      <c r="I7" s="72"/>
    </row>
    <row r="8" spans="1:9" ht="48.75" customHeight="1">
      <c r="A8" s="112"/>
      <c r="B8" s="111"/>
      <c r="C8" s="111"/>
      <c r="D8" s="110"/>
      <c r="E8" s="66" t="s">
        <v>277</v>
      </c>
      <c r="F8" s="52" t="s">
        <v>335</v>
      </c>
      <c r="G8" s="33" t="s">
        <v>201</v>
      </c>
      <c r="H8" s="61" t="s">
        <v>351</v>
      </c>
      <c r="I8" s="61"/>
    </row>
    <row r="9" spans="1:9" ht="48.75" customHeight="1">
      <c r="A9" s="112"/>
      <c r="B9" s="111"/>
      <c r="C9" s="111"/>
      <c r="D9" s="110"/>
      <c r="E9" s="66" t="s">
        <v>355</v>
      </c>
      <c r="F9" s="52" t="s">
        <v>356</v>
      </c>
      <c r="G9" s="33" t="s">
        <v>357</v>
      </c>
      <c r="H9" s="60" t="s">
        <v>315</v>
      </c>
      <c r="I9" s="61"/>
    </row>
    <row r="10" spans="1:9" ht="48.75" customHeight="1">
      <c r="A10" s="112"/>
      <c r="B10" s="111"/>
      <c r="C10" s="111"/>
      <c r="D10" s="110"/>
      <c r="E10" s="66" t="s">
        <v>268</v>
      </c>
      <c r="F10" s="52" t="s">
        <v>359</v>
      </c>
      <c r="G10" s="33" t="s">
        <v>294</v>
      </c>
      <c r="H10" s="60" t="s">
        <v>315</v>
      </c>
      <c r="I10" s="61"/>
    </row>
    <row r="11" spans="1:9" ht="29.25">
      <c r="A11" s="112"/>
      <c r="B11" s="111"/>
      <c r="C11" s="111"/>
      <c r="D11" s="110"/>
      <c r="E11" s="66" t="s">
        <v>355</v>
      </c>
      <c r="F11" s="52" t="s">
        <v>376</v>
      </c>
      <c r="G11" s="33" t="s">
        <v>377</v>
      </c>
      <c r="H11" s="60" t="s">
        <v>315</v>
      </c>
      <c r="I11" s="61"/>
    </row>
    <row r="12" spans="1:9" ht="29.25">
      <c r="A12" s="112"/>
      <c r="B12" s="111"/>
      <c r="C12" s="111"/>
      <c r="D12" s="110"/>
      <c r="E12" s="66" t="s">
        <v>268</v>
      </c>
      <c r="F12" s="52" t="s">
        <v>378</v>
      </c>
      <c r="G12" s="33" t="s">
        <v>379</v>
      </c>
      <c r="H12" s="60" t="s">
        <v>315</v>
      </c>
      <c r="I12" s="61"/>
    </row>
  </sheetData>
  <mergeCells count="6">
    <mergeCell ref="A2:A12"/>
    <mergeCell ref="D2:D4"/>
    <mergeCell ref="D5:D6"/>
    <mergeCell ref="D7:D12"/>
    <mergeCell ref="C2:C12"/>
    <mergeCell ref="B2:B12"/>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EAE20-14A8-4780-88B8-D30AAFC55CA7}">
  <dimension ref="A1:I14"/>
  <sheetViews>
    <sheetView workbookViewId="0">
      <selection activeCell="F8" sqref="F8"/>
    </sheetView>
  </sheetViews>
  <sheetFormatPr defaultRowHeight="15"/>
  <cols>
    <col min="1" max="2" width="11.140625" customWidth="1"/>
    <col min="3" max="3" width="8.85546875" customWidth="1"/>
    <col min="4" max="4" width="13" customWidth="1"/>
    <col min="5" max="5" width="13.5703125" customWidth="1"/>
    <col min="6" max="6" width="51" customWidth="1"/>
    <col min="7" max="7" width="15" customWidth="1"/>
    <col min="8" max="9" width="66" customWidth="1"/>
  </cols>
  <sheetData>
    <row r="1" spans="1:9" ht="15.75">
      <c r="A1" s="54" t="s">
        <v>0</v>
      </c>
      <c r="B1" s="55" t="s">
        <v>15</v>
      </c>
      <c r="C1" s="55"/>
      <c r="D1" s="54" t="s">
        <v>1</v>
      </c>
      <c r="E1" s="54" t="s">
        <v>266</v>
      </c>
      <c r="F1" s="54" t="s">
        <v>16</v>
      </c>
      <c r="G1" s="62" t="s">
        <v>17</v>
      </c>
      <c r="H1" s="49" t="s">
        <v>18</v>
      </c>
      <c r="I1" s="50" t="s">
        <v>19</v>
      </c>
    </row>
    <row r="2" spans="1:9" ht="33.75" customHeight="1">
      <c r="A2" s="112">
        <v>46154</v>
      </c>
      <c r="B2" s="111" t="s">
        <v>395</v>
      </c>
      <c r="C2" s="111" t="s">
        <v>375</v>
      </c>
      <c r="D2" s="113" t="s">
        <v>24</v>
      </c>
      <c r="E2" s="48" t="s">
        <v>268</v>
      </c>
      <c r="F2" s="52" t="s">
        <v>396</v>
      </c>
      <c r="G2" s="33" t="s">
        <v>201</v>
      </c>
      <c r="H2" s="60" t="s">
        <v>315</v>
      </c>
      <c r="I2" s="61"/>
    </row>
    <row r="3" spans="1:9" ht="33.75" customHeight="1">
      <c r="A3" s="112"/>
      <c r="B3" s="111"/>
      <c r="C3" s="111"/>
      <c r="D3" s="114"/>
      <c r="E3" s="48" t="s">
        <v>268</v>
      </c>
      <c r="F3" s="52" t="s">
        <v>397</v>
      </c>
      <c r="G3" s="33" t="s">
        <v>294</v>
      </c>
      <c r="H3" s="60" t="s">
        <v>315</v>
      </c>
      <c r="I3" s="61"/>
    </row>
    <row r="4" spans="1:9" ht="33.75" customHeight="1">
      <c r="A4" s="112"/>
      <c r="B4" s="111"/>
      <c r="C4" s="111"/>
      <c r="D4" s="115"/>
      <c r="E4" s="48" t="s">
        <v>355</v>
      </c>
      <c r="F4" s="52" t="s">
        <v>398</v>
      </c>
      <c r="G4" s="33" t="s">
        <v>399</v>
      </c>
      <c r="H4" s="60"/>
      <c r="I4" s="61"/>
    </row>
    <row r="5" spans="1:9" ht="33.75" customHeight="1">
      <c r="A5" s="112"/>
      <c r="B5" s="111"/>
      <c r="C5" s="111"/>
      <c r="D5" s="113" t="s">
        <v>325</v>
      </c>
      <c r="E5" s="48" t="s">
        <v>355</v>
      </c>
      <c r="F5" s="52" t="s">
        <v>400</v>
      </c>
      <c r="G5" s="33" t="s">
        <v>342</v>
      </c>
      <c r="H5" s="60"/>
      <c r="I5" s="61" t="s">
        <v>401</v>
      </c>
    </row>
    <row r="6" spans="1:9" ht="33.75" customHeight="1">
      <c r="A6" s="112"/>
      <c r="B6" s="111"/>
      <c r="C6" s="111"/>
      <c r="D6" s="114"/>
      <c r="E6" s="48" t="s">
        <v>355</v>
      </c>
      <c r="F6" s="52" t="s">
        <v>387</v>
      </c>
      <c r="G6" s="33" t="s">
        <v>388</v>
      </c>
      <c r="H6" s="60" t="s">
        <v>402</v>
      </c>
      <c r="I6" s="61" t="s">
        <v>403</v>
      </c>
    </row>
    <row r="7" spans="1:9" ht="33.75" customHeight="1">
      <c r="A7" s="112"/>
      <c r="B7" s="111"/>
      <c r="C7" s="111"/>
      <c r="D7" s="115"/>
      <c r="E7" s="48" t="s">
        <v>355</v>
      </c>
      <c r="F7" s="52" t="s">
        <v>389</v>
      </c>
      <c r="G7" s="33" t="s">
        <v>201</v>
      </c>
      <c r="H7" s="60" t="s">
        <v>404</v>
      </c>
      <c r="I7" s="72" t="s">
        <v>405</v>
      </c>
    </row>
    <row r="8" spans="1:9" ht="68.25" customHeight="1">
      <c r="A8" s="112"/>
      <c r="B8" s="111"/>
      <c r="C8" s="111"/>
      <c r="D8" s="110" t="s">
        <v>371</v>
      </c>
      <c r="E8" s="48" t="s">
        <v>268</v>
      </c>
      <c r="F8" s="52" t="s">
        <v>320</v>
      </c>
      <c r="G8" s="68" t="s">
        <v>224</v>
      </c>
      <c r="H8" s="61" t="s">
        <v>372</v>
      </c>
      <c r="I8" s="72"/>
    </row>
    <row r="9" spans="1:9" ht="57" customHeight="1">
      <c r="A9" s="112"/>
      <c r="B9" s="111"/>
      <c r="C9" s="111"/>
      <c r="D9" s="110"/>
      <c r="E9" s="48" t="s">
        <v>277</v>
      </c>
      <c r="F9" s="52" t="s">
        <v>335</v>
      </c>
      <c r="G9" s="33" t="s">
        <v>201</v>
      </c>
      <c r="H9" s="61" t="s">
        <v>351</v>
      </c>
      <c r="I9" s="61"/>
    </row>
    <row r="10" spans="1:9" ht="60" customHeight="1">
      <c r="A10" s="112"/>
      <c r="B10" s="111"/>
      <c r="C10" s="111"/>
      <c r="D10" s="110"/>
      <c r="E10" s="48" t="s">
        <v>355</v>
      </c>
      <c r="F10" s="52" t="s">
        <v>356</v>
      </c>
      <c r="G10" s="33" t="s">
        <v>357</v>
      </c>
      <c r="H10" s="60" t="s">
        <v>406</v>
      </c>
      <c r="I10" s="61"/>
    </row>
    <row r="11" spans="1:9" ht="43.5" customHeight="1">
      <c r="A11" s="112"/>
      <c r="B11" s="111"/>
      <c r="C11" s="111"/>
      <c r="D11" s="110"/>
      <c r="E11" s="48" t="s">
        <v>268</v>
      </c>
      <c r="F11" s="52" t="s">
        <v>359</v>
      </c>
      <c r="G11" s="33" t="s">
        <v>294</v>
      </c>
      <c r="H11" s="60" t="s">
        <v>315</v>
      </c>
      <c r="I11" s="61"/>
    </row>
    <row r="12" spans="1:9" ht="43.5" customHeight="1">
      <c r="A12" s="112"/>
      <c r="B12" s="111"/>
      <c r="C12" s="111"/>
      <c r="D12" s="110"/>
      <c r="E12" s="48" t="s">
        <v>355</v>
      </c>
      <c r="F12" s="52" t="s">
        <v>376</v>
      </c>
      <c r="G12" s="33" t="s">
        <v>377</v>
      </c>
      <c r="H12" s="60" t="s">
        <v>315</v>
      </c>
      <c r="I12" s="61"/>
    </row>
    <row r="13" spans="1:9" ht="43.5" customHeight="1">
      <c r="A13" s="112"/>
      <c r="B13" s="111"/>
      <c r="C13" s="111"/>
      <c r="D13" s="110"/>
      <c r="E13" s="48" t="s">
        <v>268</v>
      </c>
      <c r="F13" s="52" t="s">
        <v>378</v>
      </c>
      <c r="G13" s="33" t="s">
        <v>379</v>
      </c>
      <c r="H13" s="60" t="s">
        <v>315</v>
      </c>
      <c r="I13" s="61"/>
    </row>
    <row r="14" spans="1:9" ht="43.5">
      <c r="A14" s="112"/>
      <c r="B14" s="111"/>
      <c r="C14" s="111"/>
      <c r="D14" s="110"/>
      <c r="E14" s="48" t="s">
        <v>268</v>
      </c>
      <c r="F14" s="52" t="s">
        <v>390</v>
      </c>
      <c r="G14" s="33" t="s">
        <v>294</v>
      </c>
      <c r="H14" s="60" t="s">
        <v>315</v>
      </c>
      <c r="I14" s="61"/>
    </row>
  </sheetData>
  <mergeCells count="6">
    <mergeCell ref="D8:D14"/>
    <mergeCell ref="C2:C14"/>
    <mergeCell ref="B2:B14"/>
    <mergeCell ref="A2:A14"/>
    <mergeCell ref="D5:D7"/>
    <mergeCell ref="D2:D4"/>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C40D5-4D0F-4FC0-BF39-A9EDBF14AD7A}">
  <dimension ref="A1:I15"/>
  <sheetViews>
    <sheetView workbookViewId="0">
      <selection activeCell="F6" sqref="F6"/>
    </sheetView>
  </sheetViews>
  <sheetFormatPr defaultRowHeight="15"/>
  <cols>
    <col min="1" max="1" width="11.42578125" customWidth="1"/>
    <col min="2" max="2" width="11.5703125" customWidth="1"/>
    <col min="4" max="4" width="15.28515625" customWidth="1"/>
    <col min="6" max="6" width="60.7109375" customWidth="1"/>
    <col min="7" max="7" width="18" customWidth="1"/>
    <col min="8" max="8" width="62.85546875" customWidth="1"/>
    <col min="9" max="9" width="56.7109375" customWidth="1"/>
  </cols>
  <sheetData>
    <row r="1" spans="1:9" ht="15.75">
      <c r="A1" s="54" t="s">
        <v>0</v>
      </c>
      <c r="B1" s="55" t="s">
        <v>15</v>
      </c>
      <c r="C1" s="55"/>
      <c r="D1" s="54" t="s">
        <v>1</v>
      </c>
      <c r="E1" s="54" t="s">
        <v>266</v>
      </c>
      <c r="F1" s="54" t="s">
        <v>16</v>
      </c>
      <c r="G1" s="62" t="s">
        <v>17</v>
      </c>
      <c r="H1" s="49" t="s">
        <v>18</v>
      </c>
      <c r="I1" s="50" t="s">
        <v>19</v>
      </c>
    </row>
    <row r="2" spans="1:9" ht="39.75" customHeight="1">
      <c r="A2" s="112">
        <v>46155</v>
      </c>
      <c r="B2" s="111" t="s">
        <v>407</v>
      </c>
      <c r="C2" s="111" t="s">
        <v>375</v>
      </c>
      <c r="D2" s="110" t="s">
        <v>24</v>
      </c>
      <c r="E2" s="66" t="s">
        <v>268</v>
      </c>
      <c r="F2" s="52" t="s">
        <v>408</v>
      </c>
      <c r="G2" s="33" t="s">
        <v>399</v>
      </c>
      <c r="H2" s="60" t="s">
        <v>315</v>
      </c>
      <c r="I2" s="61"/>
    </row>
    <row r="3" spans="1:9" ht="39.75" customHeight="1">
      <c r="A3" s="112"/>
      <c r="B3" s="111"/>
      <c r="C3" s="111"/>
      <c r="D3" s="110"/>
      <c r="E3" s="66"/>
      <c r="F3" s="52"/>
      <c r="G3" s="33"/>
      <c r="H3" s="60"/>
      <c r="I3" s="61"/>
    </row>
    <row r="4" spans="1:9" ht="39.75" customHeight="1">
      <c r="A4" s="112"/>
      <c r="B4" s="111"/>
      <c r="C4" s="111"/>
      <c r="D4" s="110" t="s">
        <v>325</v>
      </c>
      <c r="E4" s="66"/>
      <c r="F4" s="52"/>
      <c r="G4" s="33"/>
      <c r="H4" s="60"/>
      <c r="I4" s="61"/>
    </row>
    <row r="5" spans="1:9" ht="39.75" customHeight="1">
      <c r="A5" s="112"/>
      <c r="B5" s="111"/>
      <c r="C5" s="111"/>
      <c r="D5" s="110"/>
      <c r="E5" s="66"/>
      <c r="F5" s="52"/>
      <c r="G5" s="33"/>
      <c r="H5" s="60"/>
      <c r="I5" s="61"/>
    </row>
    <row r="6" spans="1:9" ht="47.25" customHeight="1">
      <c r="A6" s="112"/>
      <c r="B6" s="111"/>
      <c r="C6" s="111"/>
      <c r="D6" s="110" t="s">
        <v>371</v>
      </c>
      <c r="E6" s="66" t="s">
        <v>268</v>
      </c>
      <c r="F6" s="52" t="s">
        <v>320</v>
      </c>
      <c r="G6" s="68" t="s">
        <v>224</v>
      </c>
      <c r="H6" s="61" t="s">
        <v>409</v>
      </c>
      <c r="I6" s="72"/>
    </row>
    <row r="7" spans="1:9" ht="48.75" customHeight="1">
      <c r="A7" s="112"/>
      <c r="B7" s="111"/>
      <c r="C7" s="111"/>
      <c r="D7" s="110"/>
      <c r="E7" s="66" t="s">
        <v>277</v>
      </c>
      <c r="F7" s="52" t="s">
        <v>335</v>
      </c>
      <c r="G7" s="33" t="s">
        <v>201</v>
      </c>
      <c r="H7" s="61" t="s">
        <v>351</v>
      </c>
      <c r="I7" s="61"/>
    </row>
    <row r="8" spans="1:9" ht="70.5" customHeight="1">
      <c r="A8" s="112"/>
      <c r="B8" s="111"/>
      <c r="C8" s="111"/>
      <c r="D8" s="110"/>
      <c r="E8" s="66" t="s">
        <v>355</v>
      </c>
      <c r="F8" s="52" t="s">
        <v>356</v>
      </c>
      <c r="G8" s="33" t="s">
        <v>357</v>
      </c>
      <c r="H8" s="60" t="s">
        <v>410</v>
      </c>
      <c r="I8" s="61"/>
    </row>
    <row r="9" spans="1:9" ht="39.75" customHeight="1">
      <c r="A9" s="112"/>
      <c r="B9" s="111"/>
      <c r="C9" s="111"/>
      <c r="D9" s="110"/>
      <c r="E9" s="66" t="s">
        <v>268</v>
      </c>
      <c r="F9" s="52" t="s">
        <v>359</v>
      </c>
      <c r="G9" s="33" t="s">
        <v>294</v>
      </c>
      <c r="H9" s="60" t="s">
        <v>315</v>
      </c>
      <c r="I9" s="61"/>
    </row>
    <row r="10" spans="1:9" ht="39.75" customHeight="1">
      <c r="A10" s="112"/>
      <c r="B10" s="111"/>
      <c r="C10" s="111"/>
      <c r="D10" s="110"/>
      <c r="E10" s="66" t="s">
        <v>355</v>
      </c>
      <c r="F10" s="52" t="s">
        <v>376</v>
      </c>
      <c r="G10" s="33" t="s">
        <v>377</v>
      </c>
      <c r="H10" s="60" t="s">
        <v>315</v>
      </c>
      <c r="I10" s="61"/>
    </row>
    <row r="11" spans="1:9" ht="39.75" customHeight="1">
      <c r="A11" s="112"/>
      <c r="B11" s="111"/>
      <c r="C11" s="111"/>
      <c r="D11" s="110"/>
      <c r="E11" s="66" t="s">
        <v>268</v>
      </c>
      <c r="F11" s="52" t="s">
        <v>378</v>
      </c>
      <c r="G11" s="33" t="s">
        <v>379</v>
      </c>
      <c r="H11" s="60" t="s">
        <v>315</v>
      </c>
      <c r="I11" s="61"/>
    </row>
    <row r="12" spans="1:9" ht="39.75" customHeight="1">
      <c r="A12" s="112"/>
      <c r="B12" s="111"/>
      <c r="C12" s="111"/>
      <c r="D12" s="110"/>
      <c r="E12" s="66" t="s">
        <v>268</v>
      </c>
      <c r="F12" s="52" t="s">
        <v>390</v>
      </c>
      <c r="G12" s="33" t="s">
        <v>294</v>
      </c>
      <c r="H12" s="60" t="s">
        <v>315</v>
      </c>
      <c r="I12" s="61"/>
    </row>
    <row r="13" spans="1:9" ht="29.25">
      <c r="A13" s="112"/>
      <c r="B13" s="111"/>
      <c r="C13" s="111"/>
      <c r="D13" s="110"/>
      <c r="E13" s="66" t="s">
        <v>268</v>
      </c>
      <c r="F13" s="52" t="s">
        <v>396</v>
      </c>
      <c r="G13" s="33" t="s">
        <v>201</v>
      </c>
      <c r="H13" s="60" t="s">
        <v>315</v>
      </c>
      <c r="I13" s="61"/>
    </row>
    <row r="14" spans="1:9">
      <c r="A14" s="112"/>
      <c r="B14" s="111"/>
      <c r="C14" s="111"/>
      <c r="D14" s="110"/>
      <c r="E14" s="66" t="s">
        <v>355</v>
      </c>
      <c r="F14" s="52" t="s">
        <v>398</v>
      </c>
      <c r="G14" s="33" t="s">
        <v>399</v>
      </c>
      <c r="H14" s="60" t="s">
        <v>315</v>
      </c>
      <c r="I14" s="61"/>
    </row>
    <row r="15" spans="1:9" ht="37.5" customHeight="1">
      <c r="A15" s="112"/>
      <c r="B15" s="111"/>
      <c r="C15" s="111"/>
      <c r="D15" s="110"/>
      <c r="E15" s="66" t="s">
        <v>268</v>
      </c>
      <c r="F15" s="52" t="s">
        <v>397</v>
      </c>
      <c r="G15" s="33" t="s">
        <v>294</v>
      </c>
      <c r="H15" s="60" t="s">
        <v>411</v>
      </c>
      <c r="I15" s="61"/>
    </row>
  </sheetData>
  <mergeCells count="6">
    <mergeCell ref="A2:A15"/>
    <mergeCell ref="D2:D3"/>
    <mergeCell ref="D4:D5"/>
    <mergeCell ref="D6:D15"/>
    <mergeCell ref="C2:C15"/>
    <mergeCell ref="B2:B15"/>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5E784-88BB-4910-88B2-742A25C4B73D}">
  <dimension ref="A1:I9"/>
  <sheetViews>
    <sheetView workbookViewId="0">
      <selection activeCell="H14" sqref="H14"/>
    </sheetView>
  </sheetViews>
  <sheetFormatPr defaultRowHeight="15"/>
  <cols>
    <col min="1" max="2" width="10.5703125" customWidth="1"/>
    <col min="3" max="3" width="10.28515625" customWidth="1"/>
    <col min="4" max="4" width="11.7109375" customWidth="1"/>
    <col min="5" max="5" width="10.28515625" customWidth="1"/>
    <col min="6" max="6" width="51.28515625" customWidth="1"/>
    <col min="7" max="7" width="15.42578125" customWidth="1"/>
    <col min="8" max="9" width="69.85546875" customWidth="1"/>
  </cols>
  <sheetData>
    <row r="1" spans="1:9" ht="30.75">
      <c r="A1" s="54" t="s">
        <v>0</v>
      </c>
      <c r="B1" s="55" t="s">
        <v>15</v>
      </c>
      <c r="C1" s="55"/>
      <c r="D1" s="54" t="s">
        <v>1</v>
      </c>
      <c r="E1" s="54" t="s">
        <v>266</v>
      </c>
      <c r="F1" s="54" t="s">
        <v>16</v>
      </c>
      <c r="G1" s="62" t="s">
        <v>17</v>
      </c>
      <c r="H1" s="49" t="s">
        <v>18</v>
      </c>
      <c r="I1" s="50" t="s">
        <v>19</v>
      </c>
    </row>
    <row r="2" spans="1:9" ht="33.75" customHeight="1">
      <c r="A2" s="112">
        <v>46157</v>
      </c>
      <c r="B2" s="111" t="s">
        <v>412</v>
      </c>
      <c r="C2" s="111" t="s">
        <v>375</v>
      </c>
      <c r="D2" s="56" t="s">
        <v>24</v>
      </c>
      <c r="E2" s="48" t="s">
        <v>355</v>
      </c>
      <c r="F2" s="52" t="s">
        <v>413</v>
      </c>
      <c r="G2" s="33" t="s">
        <v>399</v>
      </c>
      <c r="H2" s="60" t="s">
        <v>315</v>
      </c>
      <c r="I2" s="61"/>
    </row>
    <row r="3" spans="1:9" ht="39.75" customHeight="1">
      <c r="A3" s="112"/>
      <c r="B3" s="111"/>
      <c r="C3" s="111"/>
      <c r="D3" s="110" t="s">
        <v>28</v>
      </c>
      <c r="E3" s="48" t="s">
        <v>277</v>
      </c>
      <c r="F3" s="52" t="s">
        <v>335</v>
      </c>
      <c r="G3" s="33" t="s">
        <v>201</v>
      </c>
      <c r="H3" s="61" t="s">
        <v>351</v>
      </c>
      <c r="I3" s="61"/>
    </row>
    <row r="4" spans="1:9" ht="41.25" customHeight="1">
      <c r="A4" s="112"/>
      <c r="B4" s="111"/>
      <c r="C4" s="111"/>
      <c r="D4" s="110"/>
      <c r="E4" s="48" t="s">
        <v>355</v>
      </c>
      <c r="F4" s="52" t="s">
        <v>356</v>
      </c>
      <c r="G4" s="33" t="s">
        <v>357</v>
      </c>
      <c r="H4" s="60" t="s">
        <v>414</v>
      </c>
      <c r="I4" s="61"/>
    </row>
    <row r="5" spans="1:9" ht="33.75" customHeight="1">
      <c r="A5" s="112"/>
      <c r="B5" s="111"/>
      <c r="C5" s="111"/>
      <c r="D5" s="110"/>
      <c r="E5" s="48" t="s">
        <v>268</v>
      </c>
      <c r="F5" s="52" t="s">
        <v>359</v>
      </c>
      <c r="G5" s="33" t="s">
        <v>294</v>
      </c>
      <c r="H5" s="60" t="s">
        <v>315</v>
      </c>
      <c r="I5" s="61"/>
    </row>
    <row r="6" spans="1:9" ht="33.75" customHeight="1">
      <c r="A6" s="112"/>
      <c r="B6" s="111"/>
      <c r="C6" s="111"/>
      <c r="D6" s="110"/>
      <c r="E6" s="48" t="s">
        <v>355</v>
      </c>
      <c r="F6" s="52" t="s">
        <v>376</v>
      </c>
      <c r="G6" s="33" t="s">
        <v>377</v>
      </c>
      <c r="H6" s="60" t="s">
        <v>315</v>
      </c>
      <c r="I6" s="61"/>
    </row>
    <row r="7" spans="1:9" ht="33.75" customHeight="1">
      <c r="A7" s="112"/>
      <c r="B7" s="111"/>
      <c r="C7" s="111"/>
      <c r="D7" s="110"/>
      <c r="E7" s="48" t="s">
        <v>268</v>
      </c>
      <c r="F7" s="52" t="s">
        <v>390</v>
      </c>
      <c r="G7" s="33" t="s">
        <v>294</v>
      </c>
      <c r="H7" s="60" t="s">
        <v>415</v>
      </c>
      <c r="I7" s="61"/>
    </row>
    <row r="8" spans="1:9" ht="51" customHeight="1">
      <c r="A8" s="112"/>
      <c r="B8" s="111"/>
      <c r="C8" s="111"/>
      <c r="D8" s="110"/>
      <c r="E8" s="48" t="s">
        <v>355</v>
      </c>
      <c r="F8" s="52" t="s">
        <v>398</v>
      </c>
      <c r="G8" s="33" t="s">
        <v>399</v>
      </c>
      <c r="H8" s="60" t="s">
        <v>416</v>
      </c>
      <c r="I8" s="61"/>
    </row>
    <row r="9" spans="1:9" ht="33.75" customHeight="1">
      <c r="A9" s="112"/>
      <c r="B9" s="111"/>
      <c r="C9" s="111"/>
      <c r="D9" s="110"/>
      <c r="E9" s="48" t="s">
        <v>268</v>
      </c>
      <c r="F9" s="52" t="s">
        <v>408</v>
      </c>
      <c r="G9" s="33" t="s">
        <v>399</v>
      </c>
      <c r="H9" s="60" t="s">
        <v>315</v>
      </c>
      <c r="I9" s="61"/>
    </row>
  </sheetData>
  <mergeCells count="4">
    <mergeCell ref="A2:A9"/>
    <mergeCell ref="B2:B9"/>
    <mergeCell ref="C2:C9"/>
    <mergeCell ref="D3:D9"/>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E47C-6C55-441C-9BD7-AA26E6FD0D8B}">
  <dimension ref="A1:I18"/>
  <sheetViews>
    <sheetView workbookViewId="0">
      <selection activeCell="F6" sqref="F6"/>
    </sheetView>
  </sheetViews>
  <sheetFormatPr defaultRowHeight="15"/>
  <cols>
    <col min="1" max="2" width="9.85546875" customWidth="1"/>
    <col min="3" max="3" width="7.140625" customWidth="1"/>
    <col min="4" max="4" width="14" customWidth="1"/>
    <col min="5" max="5" width="13" customWidth="1"/>
    <col min="6" max="6" width="50.85546875" customWidth="1"/>
    <col min="7" max="7" width="17.5703125" customWidth="1"/>
    <col min="8" max="9" width="68.28515625" customWidth="1"/>
  </cols>
  <sheetData>
    <row r="1" spans="1:9" ht="30.75">
      <c r="A1" s="54" t="s">
        <v>0</v>
      </c>
      <c r="B1" s="55" t="s">
        <v>15</v>
      </c>
      <c r="C1" s="55"/>
      <c r="D1" s="54" t="s">
        <v>1</v>
      </c>
      <c r="E1" s="54" t="s">
        <v>266</v>
      </c>
      <c r="F1" s="54" t="s">
        <v>16</v>
      </c>
      <c r="G1" s="62" t="s">
        <v>17</v>
      </c>
      <c r="H1" s="49" t="s">
        <v>18</v>
      </c>
      <c r="I1" s="50" t="s">
        <v>19</v>
      </c>
    </row>
    <row r="2" spans="1:9" ht="27.75" customHeight="1">
      <c r="A2" s="112">
        <v>46156</v>
      </c>
      <c r="B2" s="111" t="s">
        <v>417</v>
      </c>
      <c r="C2" s="111" t="s">
        <v>375</v>
      </c>
      <c r="D2" s="110" t="s">
        <v>24</v>
      </c>
      <c r="E2" s="48"/>
      <c r="F2" s="52"/>
      <c r="G2" s="33"/>
      <c r="H2" s="60"/>
      <c r="I2" s="61"/>
    </row>
    <row r="3" spans="1:9" ht="27.75" customHeight="1">
      <c r="A3" s="112"/>
      <c r="B3" s="111"/>
      <c r="C3" s="111"/>
      <c r="D3" s="110"/>
      <c r="E3" s="48"/>
      <c r="F3" s="52"/>
      <c r="G3" s="33"/>
      <c r="H3" s="60"/>
      <c r="I3" s="61"/>
    </row>
    <row r="4" spans="1:9" ht="32.25" customHeight="1">
      <c r="A4" s="112"/>
      <c r="B4" s="111"/>
      <c r="C4" s="111"/>
      <c r="D4" s="113" t="s">
        <v>325</v>
      </c>
      <c r="E4" s="48" t="s">
        <v>268</v>
      </c>
      <c r="F4" s="52" t="s">
        <v>396</v>
      </c>
      <c r="G4" s="33" t="s">
        <v>201</v>
      </c>
      <c r="H4" s="60" t="s">
        <v>315</v>
      </c>
      <c r="I4" s="61" t="s">
        <v>418</v>
      </c>
    </row>
    <row r="5" spans="1:9" ht="32.25" customHeight="1">
      <c r="A5" s="112"/>
      <c r="B5" s="111"/>
      <c r="C5" s="111"/>
      <c r="D5" s="114"/>
      <c r="E5" s="48" t="s">
        <v>268</v>
      </c>
      <c r="F5" s="52" t="s">
        <v>378</v>
      </c>
      <c r="G5" s="33" t="s">
        <v>379</v>
      </c>
      <c r="H5" s="60" t="s">
        <v>315</v>
      </c>
      <c r="I5" s="61" t="s">
        <v>419</v>
      </c>
    </row>
    <row r="6" spans="1:9" ht="32.25" customHeight="1">
      <c r="A6" s="112"/>
      <c r="B6" s="111"/>
      <c r="C6" s="111"/>
      <c r="D6" s="114"/>
      <c r="E6" s="48" t="s">
        <v>268</v>
      </c>
      <c r="F6" s="52" t="s">
        <v>320</v>
      </c>
      <c r="G6" s="68" t="s">
        <v>224</v>
      </c>
      <c r="H6" s="61" t="s">
        <v>409</v>
      </c>
      <c r="I6" s="72" t="s">
        <v>419</v>
      </c>
    </row>
    <row r="7" spans="1:9" ht="32.25" customHeight="1">
      <c r="A7" s="112"/>
      <c r="B7" s="111"/>
      <c r="C7" s="111"/>
      <c r="D7" s="114"/>
      <c r="E7" s="66" t="s">
        <v>268</v>
      </c>
      <c r="F7" s="52" t="s">
        <v>397</v>
      </c>
      <c r="G7" s="33" t="s">
        <v>294</v>
      </c>
      <c r="H7" s="60" t="s">
        <v>420</v>
      </c>
      <c r="I7" s="61" t="s">
        <v>421</v>
      </c>
    </row>
    <row r="8" spans="1:9" ht="27.75" customHeight="1">
      <c r="A8" s="112"/>
      <c r="B8" s="111"/>
      <c r="C8" s="111"/>
      <c r="D8" s="115"/>
      <c r="E8" s="48" t="s">
        <v>268</v>
      </c>
      <c r="F8" s="52" t="s">
        <v>422</v>
      </c>
      <c r="G8" s="33" t="s">
        <v>201</v>
      </c>
      <c r="H8" s="60" t="s">
        <v>423</v>
      </c>
      <c r="I8" s="61" t="s">
        <v>424</v>
      </c>
    </row>
    <row r="9" spans="1:9" ht="27.75" customHeight="1">
      <c r="A9" s="112"/>
      <c r="B9" s="111"/>
      <c r="C9" s="111"/>
      <c r="D9" s="110" t="s">
        <v>28</v>
      </c>
      <c r="E9" s="48" t="s">
        <v>277</v>
      </c>
      <c r="F9" s="52" t="s">
        <v>335</v>
      </c>
      <c r="G9" s="33" t="s">
        <v>201</v>
      </c>
      <c r="H9" s="61" t="s">
        <v>351</v>
      </c>
      <c r="I9" s="61"/>
    </row>
    <row r="10" spans="1:9" ht="27.75" customHeight="1">
      <c r="A10" s="112"/>
      <c r="B10" s="111"/>
      <c r="C10" s="111"/>
      <c r="D10" s="110"/>
      <c r="E10" s="48" t="s">
        <v>355</v>
      </c>
      <c r="F10" s="52" t="s">
        <v>356</v>
      </c>
      <c r="G10" s="33" t="s">
        <v>357</v>
      </c>
      <c r="H10" s="60" t="s">
        <v>414</v>
      </c>
      <c r="I10" s="61"/>
    </row>
    <row r="11" spans="1:9" ht="27.75" customHeight="1">
      <c r="A11" s="112"/>
      <c r="B11" s="111"/>
      <c r="C11" s="111"/>
      <c r="D11" s="110"/>
      <c r="E11" s="48" t="s">
        <v>268</v>
      </c>
      <c r="F11" s="52" t="s">
        <v>359</v>
      </c>
      <c r="G11" s="33" t="s">
        <v>294</v>
      </c>
      <c r="H11" s="60" t="s">
        <v>315</v>
      </c>
      <c r="I11" s="61"/>
    </row>
    <row r="12" spans="1:9" ht="27.75" customHeight="1">
      <c r="A12" s="112"/>
      <c r="B12" s="111"/>
      <c r="C12" s="111"/>
      <c r="D12" s="110"/>
      <c r="E12" s="48" t="s">
        <v>355</v>
      </c>
      <c r="F12" s="52" t="s">
        <v>376</v>
      </c>
      <c r="G12" s="33" t="s">
        <v>377</v>
      </c>
      <c r="H12" s="60" t="s">
        <v>315</v>
      </c>
      <c r="I12" s="61"/>
    </row>
    <row r="13" spans="1:9" ht="27.75" customHeight="1">
      <c r="A13" s="112"/>
      <c r="B13" s="111"/>
      <c r="C13" s="111"/>
      <c r="D13" s="110"/>
      <c r="E13" s="48" t="s">
        <v>268</v>
      </c>
      <c r="F13" s="52" t="s">
        <v>390</v>
      </c>
      <c r="G13" s="33" t="s">
        <v>294</v>
      </c>
      <c r="H13" s="60" t="s">
        <v>415</v>
      </c>
      <c r="I13" s="61"/>
    </row>
    <row r="14" spans="1:9" ht="27.75" customHeight="1">
      <c r="A14" s="112"/>
      <c r="B14" s="111"/>
      <c r="C14" s="111"/>
      <c r="D14" s="110"/>
      <c r="E14" s="48" t="s">
        <v>355</v>
      </c>
      <c r="F14" s="52" t="s">
        <v>398</v>
      </c>
      <c r="G14" s="33" t="s">
        <v>399</v>
      </c>
      <c r="H14" s="60" t="s">
        <v>416</v>
      </c>
      <c r="I14" s="61"/>
    </row>
    <row r="15" spans="1:9" ht="27.75" customHeight="1">
      <c r="A15" s="112"/>
      <c r="B15" s="111"/>
      <c r="C15" s="111"/>
      <c r="D15" s="110"/>
      <c r="E15" s="48" t="s">
        <v>268</v>
      </c>
      <c r="F15" s="52" t="s">
        <v>408</v>
      </c>
      <c r="G15" s="33" t="s">
        <v>399</v>
      </c>
      <c r="H15" s="60" t="s">
        <v>315</v>
      </c>
      <c r="I15" s="61"/>
    </row>
    <row r="16" spans="1:9" ht="42" customHeight="1"/>
    <row r="17" ht="42" customHeight="1"/>
    <row r="18" ht="42" customHeight="1"/>
  </sheetData>
  <mergeCells count="6">
    <mergeCell ref="A2:A15"/>
    <mergeCell ref="D2:D3"/>
    <mergeCell ref="D9:D15"/>
    <mergeCell ref="C2:C15"/>
    <mergeCell ref="B2:B15"/>
    <mergeCell ref="D4:D8"/>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1248E-4EC9-4726-94CB-54DA0372B403}">
  <dimension ref="A1:I11"/>
  <sheetViews>
    <sheetView workbookViewId="0"/>
  </sheetViews>
  <sheetFormatPr defaultRowHeight="15"/>
  <cols>
    <col min="1" max="1" width="11.28515625" customWidth="1"/>
    <col min="2" max="2" width="10.42578125" customWidth="1"/>
    <col min="3" max="3" width="7.85546875" customWidth="1"/>
    <col min="4" max="4" width="15" customWidth="1"/>
    <col min="5" max="5" width="10.5703125" customWidth="1"/>
    <col min="6" max="6" width="52" customWidth="1"/>
    <col min="7" max="7" width="17.85546875" customWidth="1"/>
    <col min="8" max="8" width="84.7109375" customWidth="1"/>
    <col min="9" max="9" width="71.140625" customWidth="1"/>
  </cols>
  <sheetData>
    <row r="1" spans="1:9" ht="30.75">
      <c r="A1" s="54" t="s">
        <v>0</v>
      </c>
      <c r="B1" s="55" t="s">
        <v>15</v>
      </c>
      <c r="C1" s="55"/>
      <c r="D1" s="54" t="s">
        <v>1</v>
      </c>
      <c r="E1" s="54" t="s">
        <v>266</v>
      </c>
      <c r="F1" s="54" t="s">
        <v>16</v>
      </c>
      <c r="G1" s="62" t="s">
        <v>17</v>
      </c>
      <c r="H1" s="49" t="s">
        <v>18</v>
      </c>
      <c r="I1" s="50" t="s">
        <v>19</v>
      </c>
    </row>
    <row r="2" spans="1:9" ht="44.25" customHeight="1">
      <c r="A2" s="112">
        <v>46160</v>
      </c>
      <c r="B2" s="140" t="s">
        <v>412</v>
      </c>
      <c r="C2" s="111" t="s">
        <v>375</v>
      </c>
      <c r="D2" s="56" t="s">
        <v>24</v>
      </c>
      <c r="E2" s="66"/>
      <c r="F2" s="52"/>
      <c r="G2" s="33"/>
      <c r="H2" s="60"/>
      <c r="I2" s="61"/>
    </row>
    <row r="3" spans="1:9" ht="44.25" customHeight="1">
      <c r="A3" s="112"/>
      <c r="B3" s="141"/>
      <c r="C3" s="111"/>
      <c r="D3" s="56" t="s">
        <v>3</v>
      </c>
      <c r="E3" s="66"/>
      <c r="F3" s="52"/>
      <c r="G3" s="33"/>
      <c r="H3" s="60"/>
      <c r="I3" s="61"/>
    </row>
    <row r="4" spans="1:9" ht="31.5" customHeight="1">
      <c r="A4" s="112"/>
      <c r="B4" s="141"/>
      <c r="C4" s="111"/>
      <c r="D4" s="110" t="s">
        <v>28</v>
      </c>
      <c r="E4" s="66" t="s">
        <v>277</v>
      </c>
      <c r="F4" s="52" t="s">
        <v>335</v>
      </c>
      <c r="G4" s="33" t="s">
        <v>201</v>
      </c>
      <c r="H4" s="61" t="s">
        <v>351</v>
      </c>
      <c r="I4" s="61"/>
    </row>
    <row r="5" spans="1:9" ht="31.5" customHeight="1">
      <c r="A5" s="112"/>
      <c r="B5" s="141"/>
      <c r="C5" s="111"/>
      <c r="D5" s="110"/>
      <c r="E5" s="66" t="s">
        <v>355</v>
      </c>
      <c r="F5" s="52" t="s">
        <v>356</v>
      </c>
      <c r="G5" s="33" t="s">
        <v>357</v>
      </c>
      <c r="H5" s="60" t="s">
        <v>414</v>
      </c>
      <c r="I5" s="61"/>
    </row>
    <row r="6" spans="1:9" ht="31.5" customHeight="1">
      <c r="A6" s="112"/>
      <c r="B6" s="141"/>
      <c r="C6" s="111"/>
      <c r="D6" s="110"/>
      <c r="E6" s="66" t="s">
        <v>268</v>
      </c>
      <c r="F6" s="52" t="s">
        <v>359</v>
      </c>
      <c r="G6" s="33" t="s">
        <v>294</v>
      </c>
      <c r="H6" s="60" t="s">
        <v>315</v>
      </c>
      <c r="I6" s="61"/>
    </row>
    <row r="7" spans="1:9" ht="31.5" customHeight="1">
      <c r="A7" s="112"/>
      <c r="B7" s="141"/>
      <c r="C7" s="111"/>
      <c r="D7" s="110"/>
      <c r="E7" s="66" t="s">
        <v>355</v>
      </c>
      <c r="F7" s="52" t="s">
        <v>376</v>
      </c>
      <c r="G7" s="33" t="s">
        <v>377</v>
      </c>
      <c r="H7" s="60" t="s">
        <v>315</v>
      </c>
      <c r="I7" s="61"/>
    </row>
    <row r="8" spans="1:9" ht="31.5" customHeight="1">
      <c r="A8" s="112"/>
      <c r="B8" s="141"/>
      <c r="C8" s="111"/>
      <c r="D8" s="110"/>
      <c r="E8" s="66" t="s">
        <v>268</v>
      </c>
      <c r="F8" s="52" t="s">
        <v>390</v>
      </c>
      <c r="G8" s="33" t="s">
        <v>294</v>
      </c>
      <c r="H8" s="60" t="s">
        <v>415</v>
      </c>
      <c r="I8" s="61"/>
    </row>
    <row r="9" spans="1:9" ht="31.5" customHeight="1">
      <c r="A9" s="112"/>
      <c r="B9" s="141"/>
      <c r="C9" s="111"/>
      <c r="D9" s="110"/>
      <c r="E9" s="66" t="s">
        <v>355</v>
      </c>
      <c r="F9" s="52" t="s">
        <v>398</v>
      </c>
      <c r="G9" s="33" t="s">
        <v>399</v>
      </c>
      <c r="H9" s="60" t="s">
        <v>425</v>
      </c>
      <c r="I9" s="61"/>
    </row>
    <row r="10" spans="1:9" ht="31.5" customHeight="1">
      <c r="A10" s="112"/>
      <c r="B10" s="141"/>
      <c r="C10" s="111"/>
      <c r="D10" s="110"/>
      <c r="E10" s="66" t="s">
        <v>268</v>
      </c>
      <c r="F10" s="52" t="s">
        <v>408</v>
      </c>
      <c r="G10" s="33" t="s">
        <v>399</v>
      </c>
      <c r="H10" s="60" t="s">
        <v>426</v>
      </c>
      <c r="I10" s="61"/>
    </row>
    <row r="11" spans="1:9" ht="31.5" customHeight="1">
      <c r="A11" s="112"/>
      <c r="B11" s="142"/>
      <c r="C11" s="111"/>
      <c r="D11" s="110"/>
      <c r="E11" s="66" t="s">
        <v>355</v>
      </c>
      <c r="F11" s="52" t="s">
        <v>413</v>
      </c>
      <c r="G11" s="33" t="s">
        <v>399</v>
      </c>
      <c r="H11" s="60" t="s">
        <v>315</v>
      </c>
      <c r="I11" s="61"/>
    </row>
  </sheetData>
  <mergeCells count="4">
    <mergeCell ref="D4:D11"/>
    <mergeCell ref="C2:C11"/>
    <mergeCell ref="B2:B11"/>
    <mergeCell ref="A2:A11"/>
  </mergeCell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43BC4-36BA-4D82-B919-454ACE7A0998}">
  <dimension ref="A1:I14"/>
  <sheetViews>
    <sheetView topLeftCell="A2" workbookViewId="0">
      <selection activeCell="F2" sqref="F2:F14"/>
    </sheetView>
  </sheetViews>
  <sheetFormatPr defaultRowHeight="15"/>
  <cols>
    <col min="1" max="1" width="11.28515625" customWidth="1"/>
    <col min="2" max="2" width="11.5703125" customWidth="1"/>
    <col min="3" max="3" width="9" customWidth="1"/>
    <col min="4" max="4" width="14.5703125" customWidth="1"/>
    <col min="5" max="5" width="11.28515625" customWidth="1"/>
    <col min="6" max="6" width="52.7109375" customWidth="1"/>
    <col min="7" max="7" width="18.28515625" customWidth="1"/>
    <col min="8" max="8" width="68.140625" customWidth="1"/>
    <col min="9" max="9" width="60.5703125" customWidth="1"/>
  </cols>
  <sheetData>
    <row r="1" spans="1:9" ht="15.75">
      <c r="A1" s="54" t="s">
        <v>0</v>
      </c>
      <c r="B1" s="55" t="s">
        <v>15</v>
      </c>
      <c r="C1" s="55"/>
      <c r="D1" s="54" t="s">
        <v>1</v>
      </c>
      <c r="E1" s="54" t="s">
        <v>266</v>
      </c>
      <c r="F1" s="54" t="s">
        <v>16</v>
      </c>
      <c r="G1" s="62" t="s">
        <v>17</v>
      </c>
      <c r="H1" s="49" t="s">
        <v>18</v>
      </c>
      <c r="I1" s="50" t="s">
        <v>19</v>
      </c>
    </row>
    <row r="2" spans="1:9" ht="33" customHeight="1">
      <c r="A2" s="112">
        <v>46161</v>
      </c>
      <c r="B2" s="111" t="s">
        <v>427</v>
      </c>
      <c r="C2" s="111" t="s">
        <v>375</v>
      </c>
      <c r="D2" s="110" t="s">
        <v>24</v>
      </c>
      <c r="E2" s="48" t="s">
        <v>428</v>
      </c>
      <c r="F2" s="41" t="s">
        <v>429</v>
      </c>
      <c r="G2" s="33" t="s">
        <v>399</v>
      </c>
      <c r="H2" s="60" t="s">
        <v>430</v>
      </c>
      <c r="I2" s="61"/>
    </row>
    <row r="3" spans="1:9" ht="33" customHeight="1">
      <c r="A3" s="112"/>
      <c r="B3" s="111"/>
      <c r="C3" s="111"/>
      <c r="D3" s="110"/>
      <c r="E3" s="48" t="s">
        <v>268</v>
      </c>
      <c r="F3" s="41" t="s">
        <v>431</v>
      </c>
      <c r="G3" s="33" t="s">
        <v>399</v>
      </c>
      <c r="H3" s="60" t="s">
        <v>315</v>
      </c>
      <c r="I3" s="61"/>
    </row>
    <row r="4" spans="1:9" ht="33" customHeight="1">
      <c r="A4" s="112"/>
      <c r="B4" s="111"/>
      <c r="C4" s="111"/>
      <c r="D4" s="110"/>
      <c r="E4" s="48" t="s">
        <v>277</v>
      </c>
      <c r="F4" s="41" t="s">
        <v>432</v>
      </c>
      <c r="G4" s="33" t="s">
        <v>377</v>
      </c>
      <c r="H4" s="60" t="s">
        <v>315</v>
      </c>
      <c r="I4" s="61"/>
    </row>
    <row r="5" spans="1:9" ht="50.25" customHeight="1">
      <c r="A5" s="112"/>
      <c r="B5" s="111"/>
      <c r="C5" s="111"/>
      <c r="D5" s="110" t="s">
        <v>28</v>
      </c>
      <c r="E5" s="48" t="s">
        <v>277</v>
      </c>
      <c r="F5" s="41" t="s">
        <v>335</v>
      </c>
      <c r="G5" s="33" t="s">
        <v>201</v>
      </c>
      <c r="H5" s="61" t="s">
        <v>433</v>
      </c>
      <c r="I5" s="61"/>
    </row>
    <row r="6" spans="1:9" ht="33" customHeight="1">
      <c r="A6" s="112"/>
      <c r="B6" s="111"/>
      <c r="C6" s="111"/>
      <c r="D6" s="110"/>
      <c r="E6" s="48" t="s">
        <v>355</v>
      </c>
      <c r="F6" s="41" t="s">
        <v>356</v>
      </c>
      <c r="G6" s="33" t="s">
        <v>357</v>
      </c>
      <c r="H6" s="60" t="s">
        <v>414</v>
      </c>
      <c r="I6" s="61"/>
    </row>
    <row r="7" spans="1:9" ht="31.5" customHeight="1">
      <c r="A7" s="112"/>
      <c r="B7" s="111"/>
      <c r="C7" s="111"/>
      <c r="D7" s="110"/>
      <c r="E7" s="48" t="s">
        <v>268</v>
      </c>
      <c r="F7" s="41" t="s">
        <v>359</v>
      </c>
      <c r="G7" s="33" t="s">
        <v>294</v>
      </c>
      <c r="H7" s="60" t="s">
        <v>315</v>
      </c>
      <c r="I7" s="61"/>
    </row>
    <row r="8" spans="1:9" ht="33" customHeight="1">
      <c r="A8" s="112"/>
      <c r="B8" s="111"/>
      <c r="C8" s="111"/>
      <c r="D8" s="110"/>
      <c r="E8" s="48" t="s">
        <v>355</v>
      </c>
      <c r="F8" s="41" t="s">
        <v>376</v>
      </c>
      <c r="G8" s="33" t="s">
        <v>377</v>
      </c>
      <c r="H8" s="60" t="s">
        <v>315</v>
      </c>
      <c r="I8" s="61"/>
    </row>
    <row r="9" spans="1:9" ht="33" customHeight="1">
      <c r="A9" s="112"/>
      <c r="B9" s="111"/>
      <c r="C9" s="111"/>
      <c r="D9" s="110"/>
      <c r="E9" s="48" t="s">
        <v>268</v>
      </c>
      <c r="F9" s="41" t="s">
        <v>390</v>
      </c>
      <c r="G9" s="33" t="s">
        <v>294</v>
      </c>
      <c r="H9" s="60" t="s">
        <v>415</v>
      </c>
      <c r="I9" s="61"/>
    </row>
    <row r="10" spans="1:9" ht="33" customHeight="1">
      <c r="A10" s="112"/>
      <c r="B10" s="111"/>
      <c r="C10" s="111"/>
      <c r="D10" s="110"/>
      <c r="E10" s="48" t="s">
        <v>355</v>
      </c>
      <c r="F10" s="41" t="s">
        <v>398</v>
      </c>
      <c r="G10" s="33" t="s">
        <v>399</v>
      </c>
      <c r="H10" s="60" t="s">
        <v>425</v>
      </c>
      <c r="I10" s="61"/>
    </row>
    <row r="11" spans="1:9" ht="33" customHeight="1">
      <c r="A11" s="112"/>
      <c r="B11" s="111"/>
      <c r="C11" s="111"/>
      <c r="D11" s="110"/>
      <c r="E11" s="48" t="s">
        <v>268</v>
      </c>
      <c r="F11" s="41" t="s">
        <v>408</v>
      </c>
      <c r="G11" s="33" t="s">
        <v>399</v>
      </c>
      <c r="H11" s="60" t="s">
        <v>426</v>
      </c>
      <c r="I11" s="61"/>
    </row>
    <row r="12" spans="1:9" ht="33" customHeight="1">
      <c r="A12" s="112"/>
      <c r="B12" s="111"/>
      <c r="C12" s="111"/>
      <c r="D12" s="110"/>
      <c r="E12" s="48" t="s">
        <v>355</v>
      </c>
      <c r="F12" s="41" t="s">
        <v>413</v>
      </c>
      <c r="G12" s="33" t="s">
        <v>399</v>
      </c>
      <c r="H12" s="60" t="s">
        <v>315</v>
      </c>
      <c r="I12" s="61"/>
    </row>
    <row r="13" spans="1:9" ht="30.75">
      <c r="A13" s="112"/>
      <c r="B13" s="111"/>
      <c r="C13" s="111"/>
      <c r="D13" s="110"/>
      <c r="E13" s="48" t="s">
        <v>428</v>
      </c>
      <c r="F13" s="76" t="s">
        <v>434</v>
      </c>
      <c r="G13" s="77" t="s">
        <v>435</v>
      </c>
      <c r="H13" s="74" t="s">
        <v>436</v>
      </c>
      <c r="I13" s="75"/>
    </row>
    <row r="14" spans="1:9" ht="57.75">
      <c r="A14" s="112"/>
      <c r="B14" s="111"/>
      <c r="C14" s="111"/>
      <c r="D14" s="110"/>
      <c r="E14" s="48" t="s">
        <v>428</v>
      </c>
      <c r="F14" s="76" t="s">
        <v>437</v>
      </c>
      <c r="G14" s="77" t="s">
        <v>435</v>
      </c>
      <c r="H14" s="74" t="s">
        <v>438</v>
      </c>
      <c r="I14" s="75" t="s">
        <v>439</v>
      </c>
    </row>
  </sheetData>
  <mergeCells count="5">
    <mergeCell ref="D2:D4"/>
    <mergeCell ref="D5:D14"/>
    <mergeCell ref="C2:C14"/>
    <mergeCell ref="B2:B14"/>
    <mergeCell ref="A2:A14"/>
  </mergeCell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92861-31E3-461E-BAC8-A0D449E550F8}">
  <dimension ref="A1:I17"/>
  <sheetViews>
    <sheetView topLeftCell="A6" workbookViewId="0">
      <selection activeCell="B2" sqref="B2:B17"/>
    </sheetView>
  </sheetViews>
  <sheetFormatPr defaultRowHeight="15"/>
  <cols>
    <col min="1" max="3" width="9.85546875" customWidth="1"/>
    <col min="4" max="5" width="15.140625" customWidth="1"/>
    <col min="6" max="6" width="65.7109375" customWidth="1"/>
    <col min="7" max="7" width="17.28515625" customWidth="1"/>
    <col min="8" max="8" width="72.28515625" customWidth="1"/>
    <col min="9" max="9" width="62.5703125" customWidth="1"/>
  </cols>
  <sheetData>
    <row r="1" spans="1:9" ht="30.75">
      <c r="A1" s="54"/>
      <c r="B1" s="55" t="s">
        <v>15</v>
      </c>
      <c r="C1" s="55"/>
      <c r="D1" s="54" t="s">
        <v>1</v>
      </c>
      <c r="E1" s="54" t="s">
        <v>266</v>
      </c>
      <c r="F1" s="54" t="s">
        <v>16</v>
      </c>
      <c r="G1" s="62" t="s">
        <v>17</v>
      </c>
      <c r="H1" s="49" t="s">
        <v>18</v>
      </c>
      <c r="I1" s="50" t="s">
        <v>19</v>
      </c>
    </row>
    <row r="2" spans="1:9" ht="33" customHeight="1">
      <c r="A2" s="112">
        <v>46162</v>
      </c>
      <c r="B2" s="111" t="s">
        <v>440</v>
      </c>
      <c r="C2" s="111" t="s">
        <v>375</v>
      </c>
      <c r="D2" s="110" t="s">
        <v>24</v>
      </c>
      <c r="E2" s="48" t="s">
        <v>277</v>
      </c>
      <c r="F2" s="52" t="s">
        <v>441</v>
      </c>
      <c r="G2" s="33" t="s">
        <v>379</v>
      </c>
      <c r="H2" s="60" t="s">
        <v>315</v>
      </c>
      <c r="I2" s="61"/>
    </row>
    <row r="3" spans="1:9" ht="33" customHeight="1">
      <c r="A3" s="112"/>
      <c r="B3" s="111"/>
      <c r="C3" s="111"/>
      <c r="D3" s="110"/>
      <c r="E3" s="48" t="s">
        <v>277</v>
      </c>
      <c r="F3" s="52" t="s">
        <v>442</v>
      </c>
      <c r="G3" s="33" t="s">
        <v>294</v>
      </c>
      <c r="H3" s="60" t="s">
        <v>315</v>
      </c>
      <c r="I3" s="61"/>
    </row>
    <row r="4" spans="1:9" ht="33" customHeight="1">
      <c r="A4" s="112"/>
      <c r="B4" s="111"/>
      <c r="C4" s="111"/>
      <c r="D4" s="113" t="s">
        <v>3</v>
      </c>
      <c r="E4" s="48" t="s">
        <v>428</v>
      </c>
      <c r="F4" s="78" t="s">
        <v>434</v>
      </c>
      <c r="G4" s="77" t="s">
        <v>435</v>
      </c>
      <c r="H4" s="74" t="s">
        <v>436</v>
      </c>
      <c r="I4" s="75" t="s">
        <v>443</v>
      </c>
    </row>
    <row r="5" spans="1:9" ht="33" customHeight="1">
      <c r="A5" s="112"/>
      <c r="B5" s="111"/>
      <c r="C5" s="111"/>
      <c r="D5" s="114"/>
      <c r="E5" s="48" t="s">
        <v>428</v>
      </c>
      <c r="F5" s="52" t="s">
        <v>429</v>
      </c>
      <c r="G5" s="33" t="s">
        <v>399</v>
      </c>
      <c r="H5" s="60" t="s">
        <v>430</v>
      </c>
      <c r="I5" s="61"/>
    </row>
    <row r="6" spans="1:9" ht="33" customHeight="1">
      <c r="A6" s="112"/>
      <c r="B6" s="111"/>
      <c r="C6" s="111"/>
      <c r="D6" s="114"/>
      <c r="E6" s="48" t="s">
        <v>428</v>
      </c>
      <c r="F6" s="78" t="s">
        <v>437</v>
      </c>
      <c r="G6" s="77" t="s">
        <v>435</v>
      </c>
      <c r="H6" s="74" t="s">
        <v>438</v>
      </c>
      <c r="I6" s="75" t="s">
        <v>444</v>
      </c>
    </row>
    <row r="7" spans="1:9" ht="33" customHeight="1">
      <c r="A7" s="112"/>
      <c r="B7" s="111"/>
      <c r="C7" s="111"/>
      <c r="D7" s="115"/>
      <c r="E7" s="48" t="s">
        <v>268</v>
      </c>
      <c r="F7" s="52" t="s">
        <v>445</v>
      </c>
      <c r="G7" s="33" t="s">
        <v>379</v>
      </c>
      <c r="H7" s="60" t="s">
        <v>315</v>
      </c>
      <c r="I7" s="75" t="s">
        <v>446</v>
      </c>
    </row>
    <row r="8" spans="1:9" ht="33" customHeight="1">
      <c r="A8" s="112"/>
      <c r="B8" s="111"/>
      <c r="C8" s="111"/>
      <c r="D8" s="110" t="s">
        <v>28</v>
      </c>
      <c r="E8" s="48" t="s">
        <v>277</v>
      </c>
      <c r="F8" s="52" t="s">
        <v>335</v>
      </c>
      <c r="G8" s="33" t="s">
        <v>201</v>
      </c>
      <c r="H8" s="61" t="s">
        <v>433</v>
      </c>
      <c r="I8" s="61"/>
    </row>
    <row r="9" spans="1:9" ht="33" customHeight="1">
      <c r="A9" s="112"/>
      <c r="B9" s="111"/>
      <c r="C9" s="111"/>
      <c r="D9" s="110"/>
      <c r="E9" s="48" t="s">
        <v>355</v>
      </c>
      <c r="F9" s="52" t="s">
        <v>356</v>
      </c>
      <c r="G9" s="33" t="s">
        <v>357</v>
      </c>
      <c r="H9" s="60" t="s">
        <v>414</v>
      </c>
      <c r="I9" s="61"/>
    </row>
    <row r="10" spans="1:9" ht="33" customHeight="1">
      <c r="A10" s="112"/>
      <c r="B10" s="111"/>
      <c r="C10" s="111"/>
      <c r="D10" s="110"/>
      <c r="E10" s="48" t="s">
        <v>268</v>
      </c>
      <c r="F10" s="52" t="s">
        <v>359</v>
      </c>
      <c r="G10" s="33" t="s">
        <v>294</v>
      </c>
      <c r="H10" s="60" t="s">
        <v>315</v>
      </c>
      <c r="I10" s="61"/>
    </row>
    <row r="11" spans="1:9" ht="33" customHeight="1">
      <c r="A11" s="112"/>
      <c r="B11" s="111"/>
      <c r="C11" s="111"/>
      <c r="D11" s="110"/>
      <c r="E11" s="48" t="s">
        <v>355</v>
      </c>
      <c r="F11" s="52" t="s">
        <v>376</v>
      </c>
      <c r="G11" s="33" t="s">
        <v>377</v>
      </c>
      <c r="H11" s="60" t="s">
        <v>315</v>
      </c>
      <c r="I11" s="61"/>
    </row>
    <row r="12" spans="1:9" ht="33" customHeight="1">
      <c r="A12" s="112"/>
      <c r="B12" s="111"/>
      <c r="C12" s="111"/>
      <c r="D12" s="110"/>
      <c r="E12" s="48" t="s">
        <v>268</v>
      </c>
      <c r="F12" s="52" t="s">
        <v>390</v>
      </c>
      <c r="G12" s="33" t="s">
        <v>294</v>
      </c>
      <c r="H12" s="60" t="s">
        <v>415</v>
      </c>
      <c r="I12" s="61"/>
    </row>
    <row r="13" spans="1:9" ht="33" customHeight="1">
      <c r="A13" s="112"/>
      <c r="B13" s="111"/>
      <c r="C13" s="111"/>
      <c r="D13" s="110"/>
      <c r="E13" s="48" t="s">
        <v>355</v>
      </c>
      <c r="F13" s="52" t="s">
        <v>398</v>
      </c>
      <c r="G13" s="33" t="s">
        <v>399</v>
      </c>
      <c r="H13" s="60" t="s">
        <v>425</v>
      </c>
      <c r="I13" s="61"/>
    </row>
    <row r="14" spans="1:9" ht="33" customHeight="1">
      <c r="A14" s="112"/>
      <c r="B14" s="111"/>
      <c r="C14" s="111"/>
      <c r="D14" s="110"/>
      <c r="E14" s="48" t="s">
        <v>268</v>
      </c>
      <c r="F14" s="52" t="s">
        <v>408</v>
      </c>
      <c r="G14" s="33" t="s">
        <v>399</v>
      </c>
      <c r="H14" s="60" t="s">
        <v>426</v>
      </c>
      <c r="I14" s="61"/>
    </row>
    <row r="15" spans="1:9" ht="33" customHeight="1">
      <c r="A15" s="112"/>
      <c r="B15" s="111"/>
      <c r="C15" s="111"/>
      <c r="D15" s="110"/>
      <c r="E15" s="48" t="s">
        <v>355</v>
      </c>
      <c r="F15" s="52" t="s">
        <v>413</v>
      </c>
      <c r="G15" s="33" t="s">
        <v>399</v>
      </c>
      <c r="H15" s="60" t="s">
        <v>315</v>
      </c>
      <c r="I15" s="61"/>
    </row>
    <row r="16" spans="1:9" ht="29.25">
      <c r="A16" s="112"/>
      <c r="B16" s="111"/>
      <c r="C16" s="111"/>
      <c r="D16" s="110"/>
      <c r="E16" s="48" t="s">
        <v>268</v>
      </c>
      <c r="F16" s="52" t="s">
        <v>431</v>
      </c>
      <c r="G16" s="33" t="s">
        <v>399</v>
      </c>
      <c r="H16" s="60" t="s">
        <v>315</v>
      </c>
      <c r="I16" s="61"/>
    </row>
    <row r="17" spans="1:9" ht="30.75" customHeight="1">
      <c r="A17" s="112"/>
      <c r="B17" s="111"/>
      <c r="C17" s="111"/>
      <c r="D17" s="110"/>
      <c r="E17" s="48" t="s">
        <v>277</v>
      </c>
      <c r="F17" s="52" t="s">
        <v>447</v>
      </c>
      <c r="G17" s="33" t="s">
        <v>377</v>
      </c>
      <c r="H17" s="60" t="s">
        <v>315</v>
      </c>
      <c r="I17" s="61"/>
    </row>
  </sheetData>
  <mergeCells count="6">
    <mergeCell ref="D2:D3"/>
    <mergeCell ref="D8:D17"/>
    <mergeCell ref="C2:C17"/>
    <mergeCell ref="B2:B17"/>
    <mergeCell ref="A2:A17"/>
    <mergeCell ref="D4:D7"/>
  </mergeCell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6A345-1791-4F13-B8D7-FE470B884ED8}">
  <dimension ref="A1:I13"/>
  <sheetViews>
    <sheetView workbookViewId="0">
      <selection activeCell="B2" sqref="B2:I13"/>
    </sheetView>
  </sheetViews>
  <sheetFormatPr defaultRowHeight="15"/>
  <cols>
    <col min="1" max="3" width="10" customWidth="1"/>
    <col min="4" max="4" width="15.140625" customWidth="1"/>
    <col min="5" max="5" width="10.42578125" customWidth="1"/>
    <col min="6" max="6" width="64.5703125" customWidth="1"/>
    <col min="7" max="7" width="13.42578125" customWidth="1"/>
    <col min="8" max="9" width="61.5703125" customWidth="1"/>
  </cols>
  <sheetData>
    <row r="1" spans="1:9" ht="30.75">
      <c r="A1" s="54"/>
      <c r="B1" s="55" t="s">
        <v>15</v>
      </c>
      <c r="C1" s="55"/>
      <c r="D1" s="54" t="s">
        <v>1</v>
      </c>
      <c r="E1" s="54" t="s">
        <v>266</v>
      </c>
      <c r="F1" s="54" t="s">
        <v>16</v>
      </c>
      <c r="G1" s="62" t="s">
        <v>17</v>
      </c>
      <c r="H1" s="49" t="s">
        <v>18</v>
      </c>
      <c r="I1" s="50" t="s">
        <v>19</v>
      </c>
    </row>
    <row r="2" spans="1:9" ht="29.25" customHeight="1">
      <c r="A2" s="143">
        <v>46163</v>
      </c>
      <c r="B2" s="111" t="s">
        <v>448</v>
      </c>
      <c r="C2" s="111" t="s">
        <v>375</v>
      </c>
      <c r="D2" s="56" t="s">
        <v>3</v>
      </c>
      <c r="E2" s="66" t="s">
        <v>268</v>
      </c>
      <c r="F2" s="52" t="s">
        <v>390</v>
      </c>
      <c r="G2" s="33" t="s">
        <v>294</v>
      </c>
      <c r="H2" s="60" t="s">
        <v>415</v>
      </c>
      <c r="I2" s="75" t="s">
        <v>449</v>
      </c>
    </row>
    <row r="3" spans="1:9" ht="29.25" customHeight="1">
      <c r="A3" s="144"/>
      <c r="B3" s="111"/>
      <c r="C3" s="111"/>
      <c r="D3" s="110" t="s">
        <v>28</v>
      </c>
      <c r="E3" s="66" t="s">
        <v>277</v>
      </c>
      <c r="F3" s="52" t="s">
        <v>335</v>
      </c>
      <c r="G3" s="33" t="s">
        <v>201</v>
      </c>
      <c r="H3" s="61" t="s">
        <v>433</v>
      </c>
      <c r="I3" s="61"/>
    </row>
    <row r="4" spans="1:9" ht="29.25" customHeight="1">
      <c r="A4" s="144"/>
      <c r="B4" s="111"/>
      <c r="C4" s="111"/>
      <c r="D4" s="110"/>
      <c r="E4" s="66" t="s">
        <v>355</v>
      </c>
      <c r="F4" s="52" t="s">
        <v>356</v>
      </c>
      <c r="G4" s="33" t="s">
        <v>357</v>
      </c>
      <c r="H4" s="60" t="s">
        <v>414</v>
      </c>
      <c r="I4" s="61"/>
    </row>
    <row r="5" spans="1:9" ht="29.25" customHeight="1">
      <c r="A5" s="144"/>
      <c r="B5" s="111"/>
      <c r="C5" s="111"/>
      <c r="D5" s="110"/>
      <c r="E5" s="66" t="s">
        <v>268</v>
      </c>
      <c r="F5" s="52" t="s">
        <v>359</v>
      </c>
      <c r="G5" s="33" t="s">
        <v>294</v>
      </c>
      <c r="H5" s="60" t="s">
        <v>315</v>
      </c>
      <c r="I5" s="61"/>
    </row>
    <row r="6" spans="1:9" ht="29.25" customHeight="1">
      <c r="A6" s="144"/>
      <c r="B6" s="111"/>
      <c r="C6" s="111"/>
      <c r="D6" s="110"/>
      <c r="E6" s="66" t="s">
        <v>355</v>
      </c>
      <c r="F6" s="52" t="s">
        <v>376</v>
      </c>
      <c r="G6" s="33" t="s">
        <v>377</v>
      </c>
      <c r="H6" s="60" t="s">
        <v>315</v>
      </c>
      <c r="I6" s="61"/>
    </row>
    <row r="7" spans="1:9" ht="29.25" customHeight="1">
      <c r="A7" s="144"/>
      <c r="B7" s="111"/>
      <c r="C7" s="111"/>
      <c r="D7" s="110"/>
      <c r="E7" s="66" t="s">
        <v>355</v>
      </c>
      <c r="F7" s="52" t="s">
        <v>398</v>
      </c>
      <c r="G7" s="33" t="s">
        <v>399</v>
      </c>
      <c r="H7" s="60" t="s">
        <v>425</v>
      </c>
      <c r="I7" s="61"/>
    </row>
    <row r="8" spans="1:9" ht="29.25" customHeight="1">
      <c r="A8" s="144"/>
      <c r="B8" s="111"/>
      <c r="C8" s="111"/>
      <c r="D8" s="110"/>
      <c r="E8" s="66" t="s">
        <v>268</v>
      </c>
      <c r="F8" s="52" t="s">
        <v>408</v>
      </c>
      <c r="G8" s="33" t="s">
        <v>399</v>
      </c>
      <c r="H8" s="60" t="s">
        <v>426</v>
      </c>
      <c r="I8" s="61"/>
    </row>
    <row r="9" spans="1:9" ht="29.25" customHeight="1">
      <c r="A9" s="144"/>
      <c r="B9" s="111"/>
      <c r="C9" s="111"/>
      <c r="D9" s="110"/>
      <c r="E9" s="66" t="s">
        <v>355</v>
      </c>
      <c r="F9" s="52" t="s">
        <v>413</v>
      </c>
      <c r="G9" s="33" t="s">
        <v>399</v>
      </c>
      <c r="H9" s="60" t="s">
        <v>315</v>
      </c>
      <c r="I9" s="61"/>
    </row>
    <row r="10" spans="1:9" ht="29.25" customHeight="1">
      <c r="A10" s="144"/>
      <c r="B10" s="111"/>
      <c r="C10" s="111"/>
      <c r="D10" s="110"/>
      <c r="E10" s="66" t="s">
        <v>268</v>
      </c>
      <c r="F10" s="52" t="s">
        <v>431</v>
      </c>
      <c r="G10" s="33" t="s">
        <v>399</v>
      </c>
      <c r="H10" s="60" t="s">
        <v>315</v>
      </c>
      <c r="I10" s="61"/>
    </row>
    <row r="11" spans="1:9" ht="29.25" customHeight="1">
      <c r="A11" s="144"/>
      <c r="B11" s="111"/>
      <c r="C11" s="111"/>
      <c r="D11" s="110"/>
      <c r="E11" s="66" t="s">
        <v>277</v>
      </c>
      <c r="F11" s="52" t="s">
        <v>447</v>
      </c>
      <c r="G11" s="33" t="s">
        <v>377</v>
      </c>
      <c r="H11" s="60" t="s">
        <v>315</v>
      </c>
      <c r="I11" s="61"/>
    </row>
    <row r="12" spans="1:9" ht="43.5">
      <c r="A12" s="144"/>
      <c r="B12" s="111"/>
      <c r="C12" s="111"/>
      <c r="D12" s="110"/>
      <c r="E12" s="66" t="s">
        <v>277</v>
      </c>
      <c r="F12" s="52" t="s">
        <v>441</v>
      </c>
      <c r="G12" s="33" t="s">
        <v>379</v>
      </c>
      <c r="H12" s="60" t="s">
        <v>315</v>
      </c>
      <c r="I12" s="61"/>
    </row>
    <row r="13" spans="1:9" ht="43.5">
      <c r="A13" s="145"/>
      <c r="B13" s="111"/>
      <c r="C13" s="111"/>
      <c r="D13" s="110"/>
      <c r="E13" s="66" t="s">
        <v>277</v>
      </c>
      <c r="F13" s="52" t="s">
        <v>442</v>
      </c>
      <c r="G13" s="33" t="s">
        <v>294</v>
      </c>
      <c r="H13" s="60" t="s">
        <v>315</v>
      </c>
      <c r="I13" s="61"/>
    </row>
  </sheetData>
  <mergeCells count="4">
    <mergeCell ref="A2:A13"/>
    <mergeCell ref="D3:D13"/>
    <mergeCell ref="C2:C13"/>
    <mergeCell ref="B2:B13"/>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AA843-A855-4489-9806-42E97BEA5B1A}">
  <dimension ref="A1:I13"/>
  <sheetViews>
    <sheetView workbookViewId="0">
      <selection activeCell="B2" sqref="B2"/>
    </sheetView>
  </sheetViews>
  <sheetFormatPr defaultRowHeight="15"/>
  <cols>
    <col min="1" max="3" width="9.7109375" customWidth="1"/>
    <col min="4" max="4" width="16.5703125" customWidth="1"/>
    <col min="5" max="5" width="10.5703125" customWidth="1"/>
    <col min="6" max="6" width="51.85546875" customWidth="1"/>
    <col min="7" max="7" width="15.7109375" customWidth="1"/>
    <col min="8" max="9" width="63.7109375" customWidth="1"/>
  </cols>
  <sheetData>
    <row r="1" spans="1:9" ht="30.75">
      <c r="A1" s="54"/>
      <c r="B1" s="55" t="s">
        <v>15</v>
      </c>
      <c r="C1" s="55"/>
      <c r="D1" s="54" t="s">
        <v>1</v>
      </c>
      <c r="E1" s="54" t="s">
        <v>266</v>
      </c>
      <c r="F1" s="54" t="s">
        <v>16</v>
      </c>
      <c r="G1" s="62" t="s">
        <v>17</v>
      </c>
      <c r="H1" s="49" t="s">
        <v>18</v>
      </c>
      <c r="I1" s="50" t="s">
        <v>19</v>
      </c>
    </row>
    <row r="2" spans="1:9" ht="34.5" customHeight="1">
      <c r="A2" s="143">
        <v>46163</v>
      </c>
      <c r="B2" s="111" t="s">
        <v>448</v>
      </c>
      <c r="C2" s="111" t="s">
        <v>375</v>
      </c>
      <c r="D2" s="56" t="s">
        <v>3</v>
      </c>
      <c r="E2" s="66" t="s">
        <v>268</v>
      </c>
      <c r="F2" s="52" t="s">
        <v>390</v>
      </c>
      <c r="G2" s="33" t="s">
        <v>294</v>
      </c>
      <c r="H2" s="60" t="s">
        <v>415</v>
      </c>
      <c r="I2" s="75" t="s">
        <v>449</v>
      </c>
    </row>
    <row r="3" spans="1:9" ht="34.5" customHeight="1">
      <c r="A3" s="144"/>
      <c r="B3" s="111"/>
      <c r="C3" s="111"/>
      <c r="D3" s="110" t="s">
        <v>28</v>
      </c>
      <c r="E3" s="66" t="s">
        <v>277</v>
      </c>
      <c r="F3" s="52" t="s">
        <v>335</v>
      </c>
      <c r="G3" s="33" t="s">
        <v>201</v>
      </c>
      <c r="H3" s="61" t="s">
        <v>433</v>
      </c>
      <c r="I3" s="61"/>
    </row>
    <row r="4" spans="1:9" ht="34.5" customHeight="1">
      <c r="A4" s="144"/>
      <c r="B4" s="111"/>
      <c r="C4" s="111"/>
      <c r="D4" s="110"/>
      <c r="E4" s="66" t="s">
        <v>355</v>
      </c>
      <c r="F4" s="52" t="s">
        <v>356</v>
      </c>
      <c r="G4" s="33" t="s">
        <v>357</v>
      </c>
      <c r="H4" s="60" t="s">
        <v>414</v>
      </c>
      <c r="I4" s="61"/>
    </row>
    <row r="5" spans="1:9" ht="34.5" customHeight="1">
      <c r="A5" s="144"/>
      <c r="B5" s="111"/>
      <c r="C5" s="111"/>
      <c r="D5" s="110"/>
      <c r="E5" s="66" t="s">
        <v>268</v>
      </c>
      <c r="F5" s="52" t="s">
        <v>359</v>
      </c>
      <c r="G5" s="33" t="s">
        <v>294</v>
      </c>
      <c r="H5" s="60" t="s">
        <v>315</v>
      </c>
      <c r="I5" s="61"/>
    </row>
    <row r="6" spans="1:9" ht="34.5" customHeight="1">
      <c r="A6" s="144"/>
      <c r="B6" s="111"/>
      <c r="C6" s="111"/>
      <c r="D6" s="110"/>
      <c r="E6" s="66" t="s">
        <v>355</v>
      </c>
      <c r="F6" s="52" t="s">
        <v>376</v>
      </c>
      <c r="G6" s="33" t="s">
        <v>377</v>
      </c>
      <c r="H6" s="60" t="s">
        <v>315</v>
      </c>
      <c r="I6" s="61"/>
    </row>
    <row r="7" spans="1:9" ht="34.5" customHeight="1">
      <c r="A7" s="144"/>
      <c r="B7" s="111"/>
      <c r="C7" s="111"/>
      <c r="D7" s="110"/>
      <c r="E7" s="66" t="s">
        <v>355</v>
      </c>
      <c r="F7" s="52" t="s">
        <v>398</v>
      </c>
      <c r="G7" s="33" t="s">
        <v>399</v>
      </c>
      <c r="H7" s="60" t="s">
        <v>425</v>
      </c>
      <c r="I7" s="61"/>
    </row>
    <row r="8" spans="1:9" ht="34.5" customHeight="1">
      <c r="A8" s="144"/>
      <c r="B8" s="111"/>
      <c r="C8" s="111"/>
      <c r="D8" s="110"/>
      <c r="E8" s="66" t="s">
        <v>268</v>
      </c>
      <c r="F8" s="52" t="s">
        <v>408</v>
      </c>
      <c r="G8" s="33" t="s">
        <v>399</v>
      </c>
      <c r="H8" s="60" t="s">
        <v>426</v>
      </c>
      <c r="I8" s="61"/>
    </row>
    <row r="9" spans="1:9" ht="34.5" customHeight="1">
      <c r="A9" s="144"/>
      <c r="B9" s="111"/>
      <c r="C9" s="111"/>
      <c r="D9" s="110"/>
      <c r="E9" s="66" t="s">
        <v>355</v>
      </c>
      <c r="F9" s="52" t="s">
        <v>413</v>
      </c>
      <c r="G9" s="33" t="s">
        <v>399</v>
      </c>
      <c r="H9" s="60" t="s">
        <v>315</v>
      </c>
      <c r="I9" s="61"/>
    </row>
    <row r="10" spans="1:9" ht="34.5" customHeight="1">
      <c r="A10" s="144"/>
      <c r="B10" s="111"/>
      <c r="C10" s="111"/>
      <c r="D10" s="110"/>
      <c r="E10" s="66" t="s">
        <v>268</v>
      </c>
      <c r="F10" s="52" t="s">
        <v>431</v>
      </c>
      <c r="G10" s="33" t="s">
        <v>399</v>
      </c>
      <c r="H10" s="60" t="s">
        <v>315</v>
      </c>
      <c r="I10" s="61"/>
    </row>
    <row r="11" spans="1:9" ht="34.5" customHeight="1">
      <c r="A11" s="144"/>
      <c r="B11" s="111"/>
      <c r="C11" s="111"/>
      <c r="D11" s="110"/>
      <c r="E11" s="66" t="s">
        <v>277</v>
      </c>
      <c r="F11" s="52" t="s">
        <v>447</v>
      </c>
      <c r="G11" s="33" t="s">
        <v>377</v>
      </c>
      <c r="H11" s="60" t="s">
        <v>315</v>
      </c>
      <c r="I11" s="61"/>
    </row>
    <row r="12" spans="1:9" ht="34.5" customHeight="1">
      <c r="A12" s="144"/>
      <c r="B12" s="111"/>
      <c r="C12" s="111"/>
      <c r="D12" s="110"/>
      <c r="E12" s="66" t="s">
        <v>277</v>
      </c>
      <c r="F12" s="52" t="s">
        <v>441</v>
      </c>
      <c r="G12" s="33" t="s">
        <v>379</v>
      </c>
      <c r="H12" s="60" t="s">
        <v>315</v>
      </c>
      <c r="I12" s="61"/>
    </row>
    <row r="13" spans="1:9" ht="34.5" customHeight="1">
      <c r="A13" s="145"/>
      <c r="B13" s="111"/>
      <c r="C13" s="111"/>
      <c r="D13" s="110"/>
      <c r="E13" s="66" t="s">
        <v>277</v>
      </c>
      <c r="F13" s="52" t="s">
        <v>442</v>
      </c>
      <c r="G13" s="33" t="s">
        <v>294</v>
      </c>
      <c r="H13" s="60" t="s">
        <v>315</v>
      </c>
      <c r="I13" s="61"/>
    </row>
  </sheetData>
  <mergeCells count="4">
    <mergeCell ref="A2:A13"/>
    <mergeCell ref="B2:B13"/>
    <mergeCell ref="C2:C13"/>
    <mergeCell ref="D3:D13"/>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9FC02-1314-451A-9A68-3F6E9BFD29B9}">
  <dimension ref="A1:I18"/>
  <sheetViews>
    <sheetView workbookViewId="0">
      <selection activeCell="A2" sqref="A2"/>
    </sheetView>
  </sheetViews>
  <sheetFormatPr defaultRowHeight="15"/>
  <cols>
    <col min="1" max="3" width="10.28515625" customWidth="1"/>
    <col min="4" max="4" width="15.85546875" customWidth="1"/>
    <col min="5" max="5" width="10.5703125" customWidth="1"/>
    <col min="6" max="6" width="53.140625" customWidth="1"/>
    <col min="7" max="7" width="18.28515625" customWidth="1"/>
    <col min="8" max="8" width="68.28515625" customWidth="1"/>
    <col min="9" max="9" width="58.7109375" customWidth="1"/>
  </cols>
  <sheetData>
    <row r="1" spans="1:9" ht="30.75">
      <c r="A1" s="54" t="s">
        <v>450</v>
      </c>
      <c r="B1" s="55" t="s">
        <v>15</v>
      </c>
      <c r="C1" s="55" t="s">
        <v>451</v>
      </c>
      <c r="D1" s="54" t="s">
        <v>1</v>
      </c>
      <c r="E1" s="54" t="s">
        <v>266</v>
      </c>
      <c r="F1" s="54" t="s">
        <v>16</v>
      </c>
      <c r="G1" s="62" t="s">
        <v>17</v>
      </c>
      <c r="H1" s="49" t="s">
        <v>18</v>
      </c>
      <c r="I1" s="50" t="s">
        <v>19</v>
      </c>
    </row>
    <row r="2" spans="1:9" ht="27.75" customHeight="1">
      <c r="A2" s="143">
        <v>46167</v>
      </c>
      <c r="B2" s="111" t="s">
        <v>452</v>
      </c>
      <c r="C2" s="111" t="s">
        <v>375</v>
      </c>
      <c r="D2" s="56" t="s">
        <v>3</v>
      </c>
      <c r="E2" s="66" t="s">
        <v>277</v>
      </c>
      <c r="F2" s="52" t="s">
        <v>447</v>
      </c>
      <c r="G2" s="33" t="s">
        <v>377</v>
      </c>
      <c r="H2" s="60" t="s">
        <v>315</v>
      </c>
      <c r="I2" s="75" t="s">
        <v>453</v>
      </c>
    </row>
    <row r="3" spans="1:9" ht="27.75" customHeight="1">
      <c r="A3" s="144"/>
      <c r="B3" s="111"/>
      <c r="C3" s="111"/>
      <c r="D3" s="113" t="s">
        <v>24</v>
      </c>
      <c r="E3" s="66" t="s">
        <v>277</v>
      </c>
      <c r="F3" s="52" t="s">
        <v>454</v>
      </c>
      <c r="G3" s="33" t="s">
        <v>399</v>
      </c>
      <c r="H3" s="60" t="s">
        <v>315</v>
      </c>
      <c r="I3" s="75"/>
    </row>
    <row r="4" spans="1:9" ht="27.75" customHeight="1">
      <c r="A4" s="144"/>
      <c r="B4" s="111"/>
      <c r="C4" s="111"/>
      <c r="D4" s="114"/>
      <c r="E4" s="66" t="s">
        <v>268</v>
      </c>
      <c r="F4" s="52" t="s">
        <v>455</v>
      </c>
      <c r="G4" s="33" t="s">
        <v>294</v>
      </c>
      <c r="H4" s="60" t="s">
        <v>315</v>
      </c>
      <c r="I4" s="75"/>
    </row>
    <row r="5" spans="1:9" ht="27.75" customHeight="1">
      <c r="A5" s="144"/>
      <c r="B5" s="111"/>
      <c r="C5" s="111"/>
      <c r="D5" s="114"/>
      <c r="E5" s="66" t="s">
        <v>268</v>
      </c>
      <c r="F5" s="52" t="s">
        <v>456</v>
      </c>
      <c r="G5" s="33" t="s">
        <v>379</v>
      </c>
      <c r="H5" s="60" t="s">
        <v>315</v>
      </c>
      <c r="I5" s="75"/>
    </row>
    <row r="6" spans="1:9" ht="27.75" customHeight="1">
      <c r="A6" s="144"/>
      <c r="B6" s="111"/>
      <c r="C6" s="111"/>
      <c r="D6" s="115"/>
      <c r="E6" s="66" t="s">
        <v>268</v>
      </c>
      <c r="F6" s="52" t="s">
        <v>457</v>
      </c>
      <c r="G6" s="33" t="s">
        <v>294</v>
      </c>
      <c r="H6" s="60" t="s">
        <v>315</v>
      </c>
      <c r="I6" s="75"/>
    </row>
    <row r="7" spans="1:9" ht="33" customHeight="1">
      <c r="A7" s="144"/>
      <c r="B7" s="111"/>
      <c r="C7" s="111"/>
      <c r="D7" s="110" t="s">
        <v>28</v>
      </c>
      <c r="E7" s="66" t="s">
        <v>277</v>
      </c>
      <c r="F7" s="52" t="s">
        <v>335</v>
      </c>
      <c r="G7" s="33" t="s">
        <v>201</v>
      </c>
      <c r="H7" s="61" t="s">
        <v>433</v>
      </c>
      <c r="I7" s="61"/>
    </row>
    <row r="8" spans="1:9" ht="31.5" customHeight="1">
      <c r="A8" s="144"/>
      <c r="B8" s="111"/>
      <c r="C8" s="111"/>
      <c r="D8" s="110"/>
      <c r="E8" s="66" t="s">
        <v>355</v>
      </c>
      <c r="F8" s="52" t="s">
        <v>356</v>
      </c>
      <c r="G8" s="33" t="s">
        <v>357</v>
      </c>
      <c r="H8" s="60" t="s">
        <v>414</v>
      </c>
      <c r="I8" s="61"/>
    </row>
    <row r="9" spans="1:9" ht="27.75" customHeight="1">
      <c r="A9" s="144"/>
      <c r="B9" s="111"/>
      <c r="C9" s="111"/>
      <c r="D9" s="110"/>
      <c r="E9" s="66" t="s">
        <v>268</v>
      </c>
      <c r="F9" s="52" t="s">
        <v>359</v>
      </c>
      <c r="G9" s="33" t="s">
        <v>294</v>
      </c>
      <c r="H9" s="60" t="s">
        <v>315</v>
      </c>
      <c r="I9" s="61"/>
    </row>
    <row r="10" spans="1:9" ht="27.75" customHeight="1">
      <c r="A10" s="144"/>
      <c r="B10" s="111"/>
      <c r="C10" s="111"/>
      <c r="D10" s="110"/>
      <c r="E10" s="66" t="s">
        <v>355</v>
      </c>
      <c r="F10" s="52" t="s">
        <v>376</v>
      </c>
      <c r="G10" s="33" t="s">
        <v>377</v>
      </c>
      <c r="H10" s="60" t="s">
        <v>315</v>
      </c>
      <c r="I10" s="61"/>
    </row>
    <row r="11" spans="1:9" ht="27.75" customHeight="1">
      <c r="A11" s="144"/>
      <c r="B11" s="111"/>
      <c r="C11" s="111"/>
      <c r="D11" s="110"/>
      <c r="E11" s="66" t="s">
        <v>355</v>
      </c>
      <c r="F11" s="52" t="s">
        <v>398</v>
      </c>
      <c r="G11" s="33" t="s">
        <v>399</v>
      </c>
      <c r="H11" s="60" t="s">
        <v>425</v>
      </c>
      <c r="I11" s="61"/>
    </row>
    <row r="12" spans="1:9" ht="27.75" customHeight="1">
      <c r="A12" s="144"/>
      <c r="B12" s="111"/>
      <c r="C12" s="111"/>
      <c r="D12" s="110"/>
      <c r="E12" s="66" t="s">
        <v>268</v>
      </c>
      <c r="F12" s="52" t="s">
        <v>458</v>
      </c>
      <c r="G12" s="33" t="s">
        <v>399</v>
      </c>
      <c r="H12" s="60" t="s">
        <v>426</v>
      </c>
      <c r="I12" s="61"/>
    </row>
    <row r="13" spans="1:9" ht="27.75" customHeight="1">
      <c r="A13" s="144"/>
      <c r="B13" s="111"/>
      <c r="C13" s="111"/>
      <c r="D13" s="110"/>
      <c r="E13" s="66" t="s">
        <v>355</v>
      </c>
      <c r="F13" s="52" t="s">
        <v>413</v>
      </c>
      <c r="G13" s="33" t="s">
        <v>399</v>
      </c>
      <c r="H13" s="60" t="s">
        <v>315</v>
      </c>
      <c r="I13" s="61"/>
    </row>
    <row r="14" spans="1:9" ht="27.75" customHeight="1">
      <c r="A14" s="144"/>
      <c r="B14" s="111"/>
      <c r="C14" s="111"/>
      <c r="D14" s="110"/>
      <c r="E14" s="66" t="s">
        <v>268</v>
      </c>
      <c r="F14" s="52" t="s">
        <v>431</v>
      </c>
      <c r="G14" s="33" t="s">
        <v>399</v>
      </c>
      <c r="H14" s="60" t="s">
        <v>315</v>
      </c>
      <c r="I14" s="61"/>
    </row>
    <row r="15" spans="1:9" ht="41.25" customHeight="1">
      <c r="A15" s="144"/>
      <c r="B15" s="111"/>
      <c r="C15" s="111"/>
      <c r="D15" s="110"/>
      <c r="E15" s="66" t="s">
        <v>277</v>
      </c>
      <c r="F15" s="52" t="s">
        <v>441</v>
      </c>
      <c r="G15" s="33" t="s">
        <v>379</v>
      </c>
      <c r="H15" s="60" t="s">
        <v>315</v>
      </c>
      <c r="I15" s="61"/>
    </row>
    <row r="16" spans="1:9" ht="27.75" customHeight="1">
      <c r="A16" s="145"/>
      <c r="B16" s="111"/>
      <c r="C16" s="111"/>
      <c r="D16" s="110"/>
      <c r="E16" s="66" t="s">
        <v>277</v>
      </c>
      <c r="F16" s="52" t="s">
        <v>442</v>
      </c>
      <c r="G16" s="33" t="s">
        <v>294</v>
      </c>
      <c r="H16" s="60" t="s">
        <v>315</v>
      </c>
      <c r="I16" s="61"/>
    </row>
    <row r="17" ht="27.75" customHeight="1"/>
    <row r="18" ht="27.75" customHeight="1"/>
  </sheetData>
  <mergeCells count="5">
    <mergeCell ref="A2:A16"/>
    <mergeCell ref="B2:B16"/>
    <mergeCell ref="C2:C16"/>
    <mergeCell ref="D7:D16"/>
    <mergeCell ref="D3:D6"/>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6C86-83A0-4E72-B193-FC782A1276ED}">
  <dimension ref="A1:I17"/>
  <sheetViews>
    <sheetView workbookViewId="0"/>
  </sheetViews>
  <sheetFormatPr defaultRowHeight="15"/>
  <cols>
    <col min="1" max="2" width="10.85546875" customWidth="1"/>
    <col min="3" max="3" width="7.85546875" customWidth="1"/>
    <col min="4" max="4" width="14.85546875" customWidth="1"/>
    <col min="5" max="5" width="11.28515625" customWidth="1"/>
    <col min="6" max="6" width="60.5703125" customWidth="1"/>
    <col min="7" max="7" width="15.42578125" customWidth="1"/>
    <col min="8" max="8" width="67.140625" customWidth="1"/>
    <col min="9" max="9" width="65.7109375" customWidth="1"/>
  </cols>
  <sheetData>
    <row r="1" spans="1:9" ht="30.75">
      <c r="A1" s="54" t="s">
        <v>450</v>
      </c>
      <c r="B1" s="55" t="s">
        <v>15</v>
      </c>
      <c r="C1" s="55" t="s">
        <v>451</v>
      </c>
      <c r="D1" s="54" t="s">
        <v>1</v>
      </c>
      <c r="E1" s="54" t="s">
        <v>266</v>
      </c>
      <c r="F1" s="54" t="s">
        <v>16</v>
      </c>
      <c r="G1" s="62" t="s">
        <v>17</v>
      </c>
      <c r="H1" s="49" t="s">
        <v>18</v>
      </c>
      <c r="I1" s="50" t="s">
        <v>19</v>
      </c>
    </row>
    <row r="2" spans="1:9" ht="42" customHeight="1">
      <c r="A2" s="112">
        <v>46168</v>
      </c>
      <c r="B2" s="111" t="s">
        <v>459</v>
      </c>
      <c r="C2" s="111" t="s">
        <v>375</v>
      </c>
      <c r="D2" s="113" t="s">
        <v>3</v>
      </c>
      <c r="E2" s="48" t="s">
        <v>268</v>
      </c>
      <c r="F2" s="52" t="s">
        <v>460</v>
      </c>
      <c r="G2" s="33" t="s">
        <v>259</v>
      </c>
      <c r="H2" s="60"/>
      <c r="I2" s="75" t="s">
        <v>461</v>
      </c>
    </row>
    <row r="3" spans="1:9" ht="42" customHeight="1">
      <c r="A3" s="112"/>
      <c r="B3" s="111"/>
      <c r="C3" s="111"/>
      <c r="D3" s="114"/>
      <c r="E3" s="48" t="s">
        <v>277</v>
      </c>
      <c r="F3" s="52" t="s">
        <v>454</v>
      </c>
      <c r="G3" s="33" t="s">
        <v>462</v>
      </c>
      <c r="H3" s="71" t="s">
        <v>315</v>
      </c>
      <c r="I3" s="79" t="s">
        <v>463</v>
      </c>
    </row>
    <row r="4" spans="1:9" ht="32.25" customHeight="1">
      <c r="A4" s="112"/>
      <c r="B4" s="111"/>
      <c r="C4" s="111"/>
      <c r="D4" s="115"/>
      <c r="E4" s="48" t="s">
        <v>277</v>
      </c>
      <c r="F4" s="52" t="s">
        <v>442</v>
      </c>
      <c r="G4" s="33" t="s">
        <v>294</v>
      </c>
      <c r="H4" s="60" t="s">
        <v>315</v>
      </c>
      <c r="I4" s="72" t="s">
        <v>464</v>
      </c>
    </row>
    <row r="5" spans="1:9" ht="45" customHeight="1">
      <c r="A5" s="112"/>
      <c r="B5" s="111"/>
      <c r="C5" s="111"/>
      <c r="D5" s="56" t="s">
        <v>24</v>
      </c>
      <c r="E5" s="48" t="s">
        <v>268</v>
      </c>
      <c r="F5" s="52" t="s">
        <v>465</v>
      </c>
      <c r="G5" s="33" t="s">
        <v>379</v>
      </c>
      <c r="H5" s="60" t="s">
        <v>466</v>
      </c>
      <c r="I5" s="75"/>
    </row>
    <row r="6" spans="1:9" ht="22.5" customHeight="1">
      <c r="A6" s="112"/>
      <c r="B6" s="111"/>
      <c r="C6" s="111"/>
      <c r="D6" s="110" t="s">
        <v>28</v>
      </c>
      <c r="E6" s="48" t="s">
        <v>277</v>
      </c>
      <c r="F6" s="52" t="s">
        <v>335</v>
      </c>
      <c r="G6" s="33" t="s">
        <v>201</v>
      </c>
      <c r="H6" s="61" t="s">
        <v>433</v>
      </c>
      <c r="I6" s="61"/>
    </row>
    <row r="7" spans="1:9" ht="22.5" customHeight="1">
      <c r="A7" s="112"/>
      <c r="B7" s="111"/>
      <c r="C7" s="111"/>
      <c r="D7" s="110"/>
      <c r="E7" s="48" t="s">
        <v>355</v>
      </c>
      <c r="F7" s="52" t="s">
        <v>356</v>
      </c>
      <c r="G7" s="33" t="s">
        <v>357</v>
      </c>
      <c r="H7" s="60" t="s">
        <v>414</v>
      </c>
      <c r="I7" s="61"/>
    </row>
    <row r="8" spans="1:9" ht="22.5" customHeight="1">
      <c r="A8" s="112"/>
      <c r="B8" s="111"/>
      <c r="C8" s="111"/>
      <c r="D8" s="110"/>
      <c r="E8" s="48" t="s">
        <v>268</v>
      </c>
      <c r="F8" s="52" t="s">
        <v>359</v>
      </c>
      <c r="G8" s="33" t="s">
        <v>294</v>
      </c>
      <c r="H8" s="60" t="s">
        <v>315</v>
      </c>
      <c r="I8" s="61"/>
    </row>
    <row r="9" spans="1:9" ht="22.5" customHeight="1">
      <c r="A9" s="112"/>
      <c r="B9" s="111"/>
      <c r="C9" s="111"/>
      <c r="D9" s="110"/>
      <c r="E9" s="48" t="s">
        <v>355</v>
      </c>
      <c r="F9" s="52" t="s">
        <v>376</v>
      </c>
      <c r="G9" s="33" t="s">
        <v>377</v>
      </c>
      <c r="H9" s="60" t="s">
        <v>315</v>
      </c>
      <c r="I9" s="61"/>
    </row>
    <row r="10" spans="1:9" ht="22.5" customHeight="1">
      <c r="A10" s="112"/>
      <c r="B10" s="111"/>
      <c r="C10" s="111"/>
      <c r="D10" s="110"/>
      <c r="E10" s="48" t="s">
        <v>355</v>
      </c>
      <c r="F10" s="52" t="s">
        <v>398</v>
      </c>
      <c r="G10" s="33" t="s">
        <v>399</v>
      </c>
      <c r="H10" s="60" t="s">
        <v>425</v>
      </c>
      <c r="I10" s="61"/>
    </row>
    <row r="11" spans="1:9" ht="22.5" customHeight="1">
      <c r="A11" s="112"/>
      <c r="B11" s="111"/>
      <c r="C11" s="111"/>
      <c r="D11" s="110"/>
      <c r="E11" s="48" t="s">
        <v>268</v>
      </c>
      <c r="F11" s="52" t="s">
        <v>458</v>
      </c>
      <c r="G11" s="33" t="s">
        <v>399</v>
      </c>
      <c r="H11" s="60" t="s">
        <v>426</v>
      </c>
      <c r="I11" s="61"/>
    </row>
    <row r="12" spans="1:9" ht="22.5" customHeight="1">
      <c r="A12" s="112"/>
      <c r="B12" s="111"/>
      <c r="C12" s="111"/>
      <c r="D12" s="110"/>
      <c r="E12" s="48" t="s">
        <v>355</v>
      </c>
      <c r="F12" s="52" t="s">
        <v>413</v>
      </c>
      <c r="G12" s="33" t="s">
        <v>399</v>
      </c>
      <c r="H12" s="60" t="s">
        <v>315</v>
      </c>
      <c r="I12" s="61"/>
    </row>
    <row r="13" spans="1:9" ht="35.25" customHeight="1">
      <c r="A13" s="112"/>
      <c r="B13" s="111"/>
      <c r="C13" s="111"/>
      <c r="D13" s="110"/>
      <c r="E13" s="48" t="s">
        <v>268</v>
      </c>
      <c r="F13" s="52" t="s">
        <v>431</v>
      </c>
      <c r="G13" s="33" t="s">
        <v>399</v>
      </c>
      <c r="H13" s="60" t="s">
        <v>315</v>
      </c>
      <c r="I13" s="61"/>
    </row>
    <row r="14" spans="1:9" ht="22.5" customHeight="1">
      <c r="A14" s="112"/>
      <c r="B14" s="111"/>
      <c r="C14" s="111"/>
      <c r="D14" s="110"/>
      <c r="E14" s="48" t="s">
        <v>277</v>
      </c>
      <c r="F14" s="52" t="s">
        <v>441</v>
      </c>
      <c r="G14" s="33" t="s">
        <v>379</v>
      </c>
      <c r="H14" s="60" t="s">
        <v>315</v>
      </c>
      <c r="I14" s="61"/>
    </row>
    <row r="15" spans="1:9" ht="43.5">
      <c r="A15" s="112"/>
      <c r="B15" s="111"/>
      <c r="C15" s="111"/>
      <c r="D15" s="110"/>
      <c r="E15" s="48" t="s">
        <v>268</v>
      </c>
      <c r="F15" s="52" t="s">
        <v>455</v>
      </c>
      <c r="G15" s="33" t="s">
        <v>294</v>
      </c>
      <c r="H15" s="71" t="s">
        <v>315</v>
      </c>
      <c r="I15" s="36"/>
    </row>
    <row r="16" spans="1:9" ht="29.25">
      <c r="A16" s="112"/>
      <c r="B16" s="111"/>
      <c r="C16" s="111"/>
      <c r="D16" s="110"/>
      <c r="E16" s="48" t="s">
        <v>268</v>
      </c>
      <c r="F16" s="52" t="s">
        <v>456</v>
      </c>
      <c r="G16" s="33" t="s">
        <v>379</v>
      </c>
      <c r="H16" s="71" t="s">
        <v>315</v>
      </c>
      <c r="I16" s="36"/>
    </row>
    <row r="17" spans="1:9" ht="43.5">
      <c r="A17" s="112"/>
      <c r="B17" s="111"/>
      <c r="C17" s="111"/>
      <c r="D17" s="110"/>
      <c r="E17" s="48" t="s">
        <v>268</v>
      </c>
      <c r="F17" s="52" t="s">
        <v>457</v>
      </c>
      <c r="G17" s="33" t="s">
        <v>294</v>
      </c>
      <c r="H17" s="71" t="s">
        <v>315</v>
      </c>
      <c r="I17" s="36"/>
    </row>
  </sheetData>
  <mergeCells count="5">
    <mergeCell ref="D6:D17"/>
    <mergeCell ref="C2:C17"/>
    <mergeCell ref="B2:B17"/>
    <mergeCell ref="A2:A17"/>
    <mergeCell ref="D2:D4"/>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B00C5-F904-4B6C-82F8-2CEE3C62A4C1}">
  <dimension ref="A1:I17"/>
  <sheetViews>
    <sheetView workbookViewId="0">
      <selection activeCell="F6" sqref="F6"/>
    </sheetView>
  </sheetViews>
  <sheetFormatPr defaultRowHeight="15"/>
  <cols>
    <col min="1" max="1" width="10.42578125" customWidth="1"/>
    <col min="2" max="2" width="17.140625" customWidth="1"/>
    <col min="3" max="3" width="10.42578125" customWidth="1"/>
    <col min="4" max="4" width="12.42578125" customWidth="1"/>
    <col min="5" max="5" width="11.140625" customWidth="1"/>
    <col min="6" max="6" width="53" customWidth="1"/>
    <col min="7" max="7" width="16.42578125" customWidth="1"/>
    <col min="8" max="8" width="64.85546875" customWidth="1"/>
    <col min="9" max="9" width="61.7109375" customWidth="1"/>
  </cols>
  <sheetData>
    <row r="1" spans="1:9" ht="15.75">
      <c r="A1" s="54" t="s">
        <v>450</v>
      </c>
      <c r="B1" s="55" t="s">
        <v>15</v>
      </c>
      <c r="C1" s="55" t="s">
        <v>451</v>
      </c>
      <c r="D1" s="54" t="s">
        <v>1</v>
      </c>
      <c r="E1" s="54" t="s">
        <v>266</v>
      </c>
      <c r="F1" s="54" t="s">
        <v>16</v>
      </c>
      <c r="G1" s="62" t="s">
        <v>17</v>
      </c>
      <c r="H1" s="49" t="s">
        <v>18</v>
      </c>
      <c r="I1" s="50" t="s">
        <v>19</v>
      </c>
    </row>
    <row r="2" spans="1:9" ht="27.75" customHeight="1">
      <c r="A2" s="112">
        <v>46169</v>
      </c>
      <c r="B2" s="111" t="s">
        <v>467</v>
      </c>
      <c r="C2" s="111" t="s">
        <v>375</v>
      </c>
      <c r="D2" s="113" t="s">
        <v>3</v>
      </c>
      <c r="E2" s="66" t="s">
        <v>355</v>
      </c>
      <c r="F2" s="52" t="s">
        <v>293</v>
      </c>
      <c r="G2" s="33" t="s">
        <v>294</v>
      </c>
      <c r="H2" s="60"/>
      <c r="I2" s="75" t="s">
        <v>468</v>
      </c>
    </row>
    <row r="3" spans="1:9" ht="27.75" customHeight="1">
      <c r="A3" s="112"/>
      <c r="B3" s="111"/>
      <c r="C3" s="111"/>
      <c r="D3" s="114"/>
      <c r="E3" s="66" t="s">
        <v>268</v>
      </c>
      <c r="F3" s="52" t="s">
        <v>455</v>
      </c>
      <c r="G3" s="33" t="s">
        <v>294</v>
      </c>
      <c r="H3" s="71" t="s">
        <v>315</v>
      </c>
      <c r="I3" s="79" t="s">
        <v>469</v>
      </c>
    </row>
    <row r="4" spans="1:9" ht="27.75" customHeight="1">
      <c r="A4" s="112"/>
      <c r="B4" s="111"/>
      <c r="C4" s="111"/>
      <c r="D4" s="115"/>
      <c r="E4" s="66" t="s">
        <v>355</v>
      </c>
      <c r="F4" s="52" t="s">
        <v>470</v>
      </c>
      <c r="G4" s="33" t="s">
        <v>399</v>
      </c>
      <c r="H4" s="71" t="s">
        <v>315</v>
      </c>
      <c r="I4" s="79" t="s">
        <v>471</v>
      </c>
    </row>
    <row r="5" spans="1:9" ht="27.75" customHeight="1">
      <c r="A5" s="112"/>
      <c r="B5" s="111"/>
      <c r="C5" s="111"/>
      <c r="D5" s="80" t="s">
        <v>24</v>
      </c>
      <c r="E5" s="66" t="s">
        <v>268</v>
      </c>
      <c r="F5" s="52" t="s">
        <v>472</v>
      </c>
      <c r="G5" s="33" t="s">
        <v>388</v>
      </c>
      <c r="H5" s="71" t="s">
        <v>473</v>
      </c>
      <c r="I5" s="79"/>
    </row>
    <row r="6" spans="1:9" ht="42" customHeight="1">
      <c r="A6" s="112"/>
      <c r="B6" s="111"/>
      <c r="C6" s="111"/>
      <c r="D6" s="110" t="s">
        <v>28</v>
      </c>
      <c r="E6" s="66" t="s">
        <v>277</v>
      </c>
      <c r="F6" s="52" t="s">
        <v>335</v>
      </c>
      <c r="G6" s="33" t="s">
        <v>201</v>
      </c>
      <c r="H6" s="61" t="s">
        <v>433</v>
      </c>
      <c r="I6" s="61"/>
    </row>
    <row r="7" spans="1:9" ht="42" customHeight="1">
      <c r="A7" s="112"/>
      <c r="B7" s="111"/>
      <c r="C7" s="111"/>
      <c r="D7" s="110"/>
      <c r="E7" s="66" t="s">
        <v>355</v>
      </c>
      <c r="F7" s="52" t="s">
        <v>356</v>
      </c>
      <c r="G7" s="33" t="s">
        <v>357</v>
      </c>
      <c r="H7" s="60" t="s">
        <v>414</v>
      </c>
      <c r="I7" s="61"/>
    </row>
    <row r="8" spans="1:9" ht="42" customHeight="1">
      <c r="A8" s="112"/>
      <c r="B8" s="111"/>
      <c r="C8" s="111"/>
      <c r="D8" s="110"/>
      <c r="E8" s="66" t="s">
        <v>268</v>
      </c>
      <c r="F8" s="52" t="s">
        <v>359</v>
      </c>
      <c r="G8" s="33" t="s">
        <v>294</v>
      </c>
      <c r="H8" s="60" t="s">
        <v>315</v>
      </c>
      <c r="I8" s="61"/>
    </row>
    <row r="9" spans="1:9" ht="42" customHeight="1">
      <c r="A9" s="112"/>
      <c r="B9" s="111"/>
      <c r="C9" s="111"/>
      <c r="D9" s="110"/>
      <c r="E9" s="66" t="s">
        <v>355</v>
      </c>
      <c r="F9" s="52" t="s">
        <v>376</v>
      </c>
      <c r="G9" s="33" t="s">
        <v>377</v>
      </c>
      <c r="H9" s="60" t="s">
        <v>315</v>
      </c>
      <c r="I9" s="61"/>
    </row>
    <row r="10" spans="1:9" ht="42" customHeight="1">
      <c r="A10" s="112"/>
      <c r="B10" s="111"/>
      <c r="C10" s="111"/>
      <c r="D10" s="110"/>
      <c r="E10" s="66" t="s">
        <v>355</v>
      </c>
      <c r="F10" s="52" t="s">
        <v>398</v>
      </c>
      <c r="G10" s="33" t="s">
        <v>399</v>
      </c>
      <c r="H10" s="60" t="s">
        <v>425</v>
      </c>
      <c r="I10" s="61"/>
    </row>
    <row r="11" spans="1:9" ht="42" customHeight="1">
      <c r="A11" s="112"/>
      <c r="B11" s="111"/>
      <c r="C11" s="111"/>
      <c r="D11" s="110"/>
      <c r="E11" s="66" t="s">
        <v>268</v>
      </c>
      <c r="F11" s="52" t="s">
        <v>458</v>
      </c>
      <c r="G11" s="33" t="s">
        <v>399</v>
      </c>
      <c r="H11" s="60" t="s">
        <v>426</v>
      </c>
      <c r="I11" s="61"/>
    </row>
    <row r="12" spans="1:9" ht="42" customHeight="1">
      <c r="A12" s="112"/>
      <c r="B12" s="111"/>
      <c r="C12" s="111"/>
      <c r="D12" s="110"/>
      <c r="E12" s="66" t="s">
        <v>355</v>
      </c>
      <c r="F12" s="52" t="s">
        <v>413</v>
      </c>
      <c r="G12" s="33" t="s">
        <v>399</v>
      </c>
      <c r="H12" s="60" t="s">
        <v>315</v>
      </c>
      <c r="I12" s="61"/>
    </row>
    <row r="13" spans="1:9" ht="42" customHeight="1">
      <c r="A13" s="112"/>
      <c r="B13" s="111"/>
      <c r="C13" s="111"/>
      <c r="D13" s="110"/>
      <c r="E13" s="66" t="s">
        <v>268</v>
      </c>
      <c r="F13" s="52" t="s">
        <v>431</v>
      </c>
      <c r="G13" s="33" t="s">
        <v>399</v>
      </c>
      <c r="H13" s="60" t="s">
        <v>315</v>
      </c>
      <c r="I13" s="61"/>
    </row>
    <row r="14" spans="1:9" ht="42" customHeight="1">
      <c r="A14" s="112"/>
      <c r="B14" s="111"/>
      <c r="C14" s="111"/>
      <c r="D14" s="110"/>
      <c r="E14" s="66" t="s">
        <v>277</v>
      </c>
      <c r="F14" s="52" t="s">
        <v>441</v>
      </c>
      <c r="G14" s="33" t="s">
        <v>379</v>
      </c>
      <c r="H14" s="60" t="s">
        <v>315</v>
      </c>
      <c r="I14" s="61"/>
    </row>
    <row r="15" spans="1:9" ht="42" customHeight="1">
      <c r="A15" s="112"/>
      <c r="B15" s="111"/>
      <c r="C15" s="111"/>
      <c r="D15" s="110"/>
      <c r="E15" s="66" t="s">
        <v>268</v>
      </c>
      <c r="F15" s="52" t="s">
        <v>456</v>
      </c>
      <c r="G15" s="33" t="s">
        <v>379</v>
      </c>
      <c r="H15" s="71" t="s">
        <v>315</v>
      </c>
      <c r="I15" s="36"/>
    </row>
    <row r="16" spans="1:9" ht="42" customHeight="1">
      <c r="A16" s="112"/>
      <c r="B16" s="111"/>
      <c r="C16" s="111"/>
      <c r="D16" s="110"/>
      <c r="E16" s="66" t="s">
        <v>268</v>
      </c>
      <c r="F16" s="52" t="s">
        <v>457</v>
      </c>
      <c r="G16" s="33" t="s">
        <v>294</v>
      </c>
      <c r="H16" s="71" t="s">
        <v>315</v>
      </c>
      <c r="I16" s="36"/>
    </row>
    <row r="17" spans="1:9" ht="83.25" customHeight="1">
      <c r="A17" s="112"/>
      <c r="B17" s="111"/>
      <c r="C17" s="111"/>
      <c r="D17" s="110"/>
      <c r="E17" s="66" t="s">
        <v>268</v>
      </c>
      <c r="F17" s="52" t="s">
        <v>465</v>
      </c>
      <c r="G17" s="33" t="s">
        <v>379</v>
      </c>
      <c r="H17" s="60" t="s">
        <v>466</v>
      </c>
      <c r="I17" s="75"/>
    </row>
  </sheetData>
  <mergeCells count="5">
    <mergeCell ref="D6:D17"/>
    <mergeCell ref="C2:C17"/>
    <mergeCell ref="B2:B17"/>
    <mergeCell ref="A2:A17"/>
    <mergeCell ref="D2:D4"/>
  </mergeCell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CEE1A-7430-4B8D-972B-3BD232A769F7}">
  <dimension ref="A1:I16"/>
  <sheetViews>
    <sheetView workbookViewId="0"/>
  </sheetViews>
  <sheetFormatPr defaultRowHeight="15"/>
  <cols>
    <col min="1" max="3" width="10.85546875" customWidth="1"/>
    <col min="4" max="4" width="12.140625" customWidth="1"/>
    <col min="5" max="5" width="10.42578125" customWidth="1"/>
    <col min="6" max="6" width="51.85546875" customWidth="1"/>
    <col min="7" max="7" width="16.85546875" customWidth="1"/>
    <col min="8" max="8" width="79" customWidth="1"/>
    <col min="9" max="9" width="60.7109375" customWidth="1"/>
  </cols>
  <sheetData>
    <row r="1" spans="1:9" ht="30.75">
      <c r="A1" s="54" t="s">
        <v>450</v>
      </c>
      <c r="B1" s="55" t="s">
        <v>15</v>
      </c>
      <c r="C1" s="55" t="s">
        <v>451</v>
      </c>
      <c r="D1" s="54" t="s">
        <v>1</v>
      </c>
      <c r="E1" s="54" t="s">
        <v>266</v>
      </c>
      <c r="F1" s="54" t="s">
        <v>16</v>
      </c>
      <c r="G1" s="62" t="s">
        <v>17</v>
      </c>
      <c r="H1" s="49" t="s">
        <v>18</v>
      </c>
      <c r="I1" s="50" t="s">
        <v>19</v>
      </c>
    </row>
    <row r="2" spans="1:9" ht="31.5" customHeight="1">
      <c r="A2" s="143">
        <v>46170</v>
      </c>
      <c r="B2" s="111" t="s">
        <v>474</v>
      </c>
      <c r="C2" s="111" t="s">
        <v>375</v>
      </c>
      <c r="D2" s="113" t="s">
        <v>3</v>
      </c>
      <c r="E2" s="48" t="s">
        <v>268</v>
      </c>
      <c r="F2" s="41" t="s">
        <v>457</v>
      </c>
      <c r="G2" s="33" t="s">
        <v>294</v>
      </c>
      <c r="H2" s="71" t="s">
        <v>315</v>
      </c>
      <c r="I2" s="79" t="s">
        <v>475</v>
      </c>
    </row>
    <row r="3" spans="1:9" ht="31.5" customHeight="1">
      <c r="A3" s="144"/>
      <c r="B3" s="111"/>
      <c r="C3" s="111"/>
      <c r="D3" s="114"/>
      <c r="E3" s="48" t="s">
        <v>268</v>
      </c>
      <c r="F3" s="41" t="s">
        <v>472</v>
      </c>
      <c r="G3" s="33" t="s">
        <v>388</v>
      </c>
      <c r="H3" s="71" t="s">
        <v>473</v>
      </c>
      <c r="I3" s="79" t="s">
        <v>476</v>
      </c>
    </row>
    <row r="4" spans="1:9" ht="31.5" customHeight="1">
      <c r="A4" s="144"/>
      <c r="B4" s="111"/>
      <c r="C4" s="111"/>
      <c r="D4" s="114"/>
      <c r="E4" s="48" t="s">
        <v>268</v>
      </c>
      <c r="F4" s="41" t="s">
        <v>458</v>
      </c>
      <c r="G4" s="33" t="s">
        <v>399</v>
      </c>
      <c r="H4" s="60" t="s">
        <v>477</v>
      </c>
      <c r="I4" s="79" t="s">
        <v>478</v>
      </c>
    </row>
    <row r="5" spans="1:9" ht="48" customHeight="1">
      <c r="A5" s="144"/>
      <c r="B5" s="111"/>
      <c r="C5" s="111"/>
      <c r="D5" s="115"/>
      <c r="E5" s="48" t="s">
        <v>277</v>
      </c>
      <c r="F5" s="41" t="s">
        <v>441</v>
      </c>
      <c r="G5" s="33" t="s">
        <v>379</v>
      </c>
      <c r="H5" s="60" t="s">
        <v>479</v>
      </c>
      <c r="I5" s="61" t="s">
        <v>480</v>
      </c>
    </row>
    <row r="6" spans="1:9" ht="31.5" customHeight="1">
      <c r="A6" s="144"/>
      <c r="B6" s="111"/>
      <c r="C6" s="111"/>
      <c r="D6" s="113" t="s">
        <v>24</v>
      </c>
      <c r="E6" s="48" t="s">
        <v>277</v>
      </c>
      <c r="F6" s="41" t="s">
        <v>481</v>
      </c>
      <c r="G6" s="33" t="s">
        <v>388</v>
      </c>
      <c r="H6" s="71" t="s">
        <v>315</v>
      </c>
      <c r="I6" s="79"/>
    </row>
    <row r="7" spans="1:9" ht="31.5" customHeight="1">
      <c r="A7" s="144"/>
      <c r="B7" s="111"/>
      <c r="C7" s="111"/>
      <c r="D7" s="115"/>
      <c r="E7" s="48" t="s">
        <v>268</v>
      </c>
      <c r="F7" s="41" t="s">
        <v>482</v>
      </c>
      <c r="G7" s="33" t="s">
        <v>399</v>
      </c>
      <c r="H7" s="71" t="s">
        <v>315</v>
      </c>
      <c r="I7" s="79"/>
    </row>
    <row r="8" spans="1:9" ht="56.25" customHeight="1">
      <c r="A8" s="144"/>
      <c r="B8" s="111"/>
      <c r="C8" s="111"/>
      <c r="D8" s="110" t="s">
        <v>28</v>
      </c>
      <c r="E8" s="48" t="s">
        <v>277</v>
      </c>
      <c r="F8" s="41" t="s">
        <v>335</v>
      </c>
      <c r="G8" s="33" t="s">
        <v>201</v>
      </c>
      <c r="H8" s="61" t="s">
        <v>483</v>
      </c>
      <c r="I8" s="61"/>
    </row>
    <row r="9" spans="1:9" ht="31.5" customHeight="1">
      <c r="A9" s="144"/>
      <c r="B9" s="111"/>
      <c r="C9" s="111"/>
      <c r="D9" s="110"/>
      <c r="E9" s="48" t="s">
        <v>355</v>
      </c>
      <c r="F9" s="41" t="s">
        <v>356</v>
      </c>
      <c r="G9" s="33" t="s">
        <v>357</v>
      </c>
      <c r="H9" s="60" t="s">
        <v>484</v>
      </c>
      <c r="I9" s="61"/>
    </row>
    <row r="10" spans="1:9" ht="31.5" customHeight="1">
      <c r="A10" s="144"/>
      <c r="B10" s="111"/>
      <c r="C10" s="111"/>
      <c r="D10" s="110"/>
      <c r="E10" s="48" t="s">
        <v>268</v>
      </c>
      <c r="F10" s="41" t="s">
        <v>359</v>
      </c>
      <c r="G10" s="33" t="s">
        <v>294</v>
      </c>
      <c r="H10" s="60" t="s">
        <v>485</v>
      </c>
      <c r="I10" s="61"/>
    </row>
    <row r="11" spans="1:9" ht="31.5" customHeight="1">
      <c r="A11" s="144"/>
      <c r="B11" s="111"/>
      <c r="C11" s="111"/>
      <c r="D11" s="110"/>
      <c r="E11" s="48" t="s">
        <v>355</v>
      </c>
      <c r="F11" s="41" t="s">
        <v>376</v>
      </c>
      <c r="G11" s="33" t="s">
        <v>377</v>
      </c>
      <c r="H11" s="60" t="s">
        <v>486</v>
      </c>
      <c r="I11" s="61"/>
    </row>
    <row r="12" spans="1:9" ht="31.5" customHeight="1">
      <c r="A12" s="144"/>
      <c r="B12" s="111"/>
      <c r="C12" s="111"/>
      <c r="D12" s="110"/>
      <c r="E12" s="48" t="s">
        <v>355</v>
      </c>
      <c r="F12" s="41" t="s">
        <v>398</v>
      </c>
      <c r="G12" s="33" t="s">
        <v>399</v>
      </c>
      <c r="H12" s="60" t="s">
        <v>487</v>
      </c>
      <c r="I12" s="61"/>
    </row>
    <row r="13" spans="1:9" ht="31.5" customHeight="1">
      <c r="A13" s="144"/>
      <c r="B13" s="111"/>
      <c r="C13" s="111"/>
      <c r="D13" s="110"/>
      <c r="E13" s="48" t="s">
        <v>355</v>
      </c>
      <c r="F13" s="41" t="s">
        <v>413</v>
      </c>
      <c r="G13" s="33" t="s">
        <v>399</v>
      </c>
      <c r="H13" s="60" t="s">
        <v>488</v>
      </c>
      <c r="I13" s="61"/>
    </row>
    <row r="14" spans="1:9" ht="31.5" customHeight="1">
      <c r="A14" s="144"/>
      <c r="B14" s="111"/>
      <c r="C14" s="111"/>
      <c r="D14" s="110"/>
      <c r="E14" s="48" t="s">
        <v>268</v>
      </c>
      <c r="F14" s="41" t="s">
        <v>431</v>
      </c>
      <c r="G14" s="33" t="s">
        <v>399</v>
      </c>
      <c r="H14" s="60" t="s">
        <v>315</v>
      </c>
      <c r="I14" s="61"/>
    </row>
    <row r="15" spans="1:9" ht="31.5" customHeight="1">
      <c r="A15" s="144"/>
      <c r="B15" s="111"/>
      <c r="C15" s="111"/>
      <c r="D15" s="110"/>
      <c r="E15" s="48" t="s">
        <v>268</v>
      </c>
      <c r="F15" s="41" t="s">
        <v>456</v>
      </c>
      <c r="G15" s="33" t="s">
        <v>379</v>
      </c>
      <c r="H15" s="71" t="s">
        <v>489</v>
      </c>
      <c r="I15" s="36"/>
    </row>
    <row r="16" spans="1:9" ht="54.75" customHeight="1">
      <c r="A16" s="145"/>
      <c r="B16" s="111"/>
      <c r="C16" s="111"/>
      <c r="D16" s="110"/>
      <c r="E16" s="48" t="s">
        <v>268</v>
      </c>
      <c r="F16" s="41" t="s">
        <v>465</v>
      </c>
      <c r="G16" s="33" t="s">
        <v>379</v>
      </c>
      <c r="H16" s="60" t="s">
        <v>490</v>
      </c>
      <c r="I16" s="75"/>
    </row>
  </sheetData>
  <mergeCells count="6">
    <mergeCell ref="D8:D16"/>
    <mergeCell ref="C2:C16"/>
    <mergeCell ref="B2:B16"/>
    <mergeCell ref="A2:A16"/>
    <mergeCell ref="D6:D7"/>
    <mergeCell ref="D2:D5"/>
  </mergeCell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A30F7-02EA-4B8C-82CB-9DF14F40A86A}">
  <dimension ref="A1:I24"/>
  <sheetViews>
    <sheetView topLeftCell="F2" workbookViewId="0">
      <selection activeCell="A2" sqref="A2:I14"/>
    </sheetView>
  </sheetViews>
  <sheetFormatPr defaultRowHeight="15"/>
  <cols>
    <col min="1" max="3" width="11.7109375" customWidth="1"/>
    <col min="4" max="5" width="12" customWidth="1"/>
    <col min="6" max="6" width="82.140625" customWidth="1"/>
    <col min="7" max="7" width="18.5703125" customWidth="1"/>
    <col min="8" max="8" width="99.140625" customWidth="1"/>
    <col min="9" max="9" width="109.140625" customWidth="1"/>
  </cols>
  <sheetData>
    <row r="1" spans="1:9" ht="15.75">
      <c r="A1" s="54" t="s">
        <v>450</v>
      </c>
      <c r="B1" s="55" t="s">
        <v>15</v>
      </c>
      <c r="C1" s="55" t="s">
        <v>451</v>
      </c>
      <c r="D1" s="54" t="s">
        <v>1</v>
      </c>
      <c r="E1" s="54" t="s">
        <v>266</v>
      </c>
      <c r="F1" s="54" t="s">
        <v>16</v>
      </c>
      <c r="G1" s="62" t="s">
        <v>17</v>
      </c>
      <c r="H1" s="49" t="s">
        <v>18</v>
      </c>
      <c r="I1" s="50" t="s">
        <v>19</v>
      </c>
    </row>
    <row r="2" spans="1:9" ht="36" customHeight="1">
      <c r="A2" s="112">
        <v>46171</v>
      </c>
      <c r="B2" s="111" t="s">
        <v>491</v>
      </c>
      <c r="C2" s="111" t="s">
        <v>375</v>
      </c>
      <c r="D2" s="110" t="s">
        <v>3</v>
      </c>
      <c r="E2" s="66" t="s">
        <v>355</v>
      </c>
      <c r="F2" s="41" t="s">
        <v>356</v>
      </c>
      <c r="G2" s="33" t="s">
        <v>357</v>
      </c>
      <c r="H2" s="60" t="s">
        <v>484</v>
      </c>
      <c r="I2" s="79" t="s">
        <v>492</v>
      </c>
    </row>
    <row r="3" spans="1:9" ht="36" customHeight="1">
      <c r="A3" s="112"/>
      <c r="B3" s="111"/>
      <c r="C3" s="111"/>
      <c r="D3" s="110"/>
      <c r="E3" s="66" t="s">
        <v>268</v>
      </c>
      <c r="F3" s="41" t="s">
        <v>465</v>
      </c>
      <c r="G3" s="33" t="s">
        <v>357</v>
      </c>
      <c r="H3" s="60" t="s">
        <v>490</v>
      </c>
      <c r="I3" s="79" t="s">
        <v>490</v>
      </c>
    </row>
    <row r="4" spans="1:9" ht="36" customHeight="1">
      <c r="A4" s="112"/>
      <c r="B4" s="111"/>
      <c r="C4" s="111"/>
      <c r="D4" s="110"/>
      <c r="E4" s="66" t="s">
        <v>277</v>
      </c>
      <c r="F4" s="41" t="s">
        <v>481</v>
      </c>
      <c r="G4" s="33" t="s">
        <v>388</v>
      </c>
      <c r="H4" s="71" t="s">
        <v>315</v>
      </c>
      <c r="I4" s="79" t="s">
        <v>493</v>
      </c>
    </row>
    <row r="5" spans="1:9" ht="36" customHeight="1">
      <c r="A5" s="112"/>
      <c r="B5" s="111"/>
      <c r="C5" s="111"/>
      <c r="D5" s="113" t="s">
        <v>24</v>
      </c>
      <c r="E5" s="66" t="s">
        <v>268</v>
      </c>
      <c r="F5" s="41" t="s">
        <v>494</v>
      </c>
      <c r="G5" s="33" t="s">
        <v>294</v>
      </c>
      <c r="H5" s="71" t="s">
        <v>495</v>
      </c>
      <c r="I5" s="79"/>
    </row>
    <row r="6" spans="1:9" ht="36" customHeight="1">
      <c r="A6" s="112"/>
      <c r="B6" s="111"/>
      <c r="C6" s="111"/>
      <c r="D6" s="115"/>
      <c r="E6" s="66" t="s">
        <v>268</v>
      </c>
      <c r="F6" s="41" t="s">
        <v>496</v>
      </c>
      <c r="G6" s="33" t="s">
        <v>196</v>
      </c>
      <c r="H6" s="71" t="s">
        <v>315</v>
      </c>
      <c r="I6" s="79"/>
    </row>
    <row r="7" spans="1:9" ht="36" customHeight="1">
      <c r="A7" s="112"/>
      <c r="B7" s="111"/>
      <c r="C7" s="111"/>
      <c r="D7" s="110" t="s">
        <v>28</v>
      </c>
      <c r="E7" s="66" t="s">
        <v>277</v>
      </c>
      <c r="F7" s="41" t="s">
        <v>335</v>
      </c>
      <c r="G7" s="33" t="s">
        <v>201</v>
      </c>
      <c r="H7" s="61" t="s">
        <v>483</v>
      </c>
      <c r="I7" s="61"/>
    </row>
    <row r="8" spans="1:9" ht="36" customHeight="1">
      <c r="A8" s="112"/>
      <c r="B8" s="111"/>
      <c r="C8" s="111"/>
      <c r="D8" s="110"/>
      <c r="E8" s="66" t="s">
        <v>268</v>
      </c>
      <c r="F8" s="41" t="s">
        <v>359</v>
      </c>
      <c r="G8" s="33" t="s">
        <v>294</v>
      </c>
      <c r="H8" s="60" t="s">
        <v>485</v>
      </c>
      <c r="I8" s="61"/>
    </row>
    <row r="9" spans="1:9" ht="36" customHeight="1">
      <c r="A9" s="112"/>
      <c r="B9" s="111"/>
      <c r="C9" s="111"/>
      <c r="D9" s="110"/>
      <c r="E9" s="66" t="s">
        <v>355</v>
      </c>
      <c r="F9" s="41" t="s">
        <v>376</v>
      </c>
      <c r="G9" s="33" t="s">
        <v>377</v>
      </c>
      <c r="H9" s="60" t="s">
        <v>486</v>
      </c>
      <c r="I9" s="61"/>
    </row>
    <row r="10" spans="1:9" ht="36" customHeight="1">
      <c r="A10" s="112"/>
      <c r="B10" s="111"/>
      <c r="C10" s="111"/>
      <c r="D10" s="110"/>
      <c r="E10" s="66" t="s">
        <v>355</v>
      </c>
      <c r="F10" s="41" t="s">
        <v>398</v>
      </c>
      <c r="G10" s="33" t="s">
        <v>399</v>
      </c>
      <c r="H10" s="60" t="s">
        <v>487</v>
      </c>
      <c r="I10" s="61"/>
    </row>
    <row r="11" spans="1:9" ht="36" customHeight="1">
      <c r="A11" s="112"/>
      <c r="B11" s="111"/>
      <c r="C11" s="111"/>
      <c r="D11" s="110"/>
      <c r="E11" s="66" t="s">
        <v>355</v>
      </c>
      <c r="F11" s="41" t="s">
        <v>413</v>
      </c>
      <c r="G11" s="33" t="s">
        <v>399</v>
      </c>
      <c r="H11" s="60" t="s">
        <v>488</v>
      </c>
      <c r="I11" s="61"/>
    </row>
    <row r="12" spans="1:9" ht="36" customHeight="1">
      <c r="A12" s="112"/>
      <c r="B12" s="111"/>
      <c r="C12" s="111"/>
      <c r="D12" s="110"/>
      <c r="E12" s="66" t="s">
        <v>268</v>
      </c>
      <c r="F12" s="41" t="s">
        <v>431</v>
      </c>
      <c r="G12" s="33" t="s">
        <v>399</v>
      </c>
      <c r="H12" s="60" t="s">
        <v>315</v>
      </c>
      <c r="I12" s="61"/>
    </row>
    <row r="13" spans="1:9" ht="36" customHeight="1">
      <c r="A13" s="112"/>
      <c r="B13" s="111"/>
      <c r="C13" s="111"/>
      <c r="D13" s="110"/>
      <c r="E13" s="66" t="s">
        <v>268</v>
      </c>
      <c r="F13" s="41" t="s">
        <v>456</v>
      </c>
      <c r="G13" s="33" t="s">
        <v>379</v>
      </c>
      <c r="H13" s="71" t="s">
        <v>489</v>
      </c>
      <c r="I13" s="36"/>
    </row>
    <row r="14" spans="1:9" ht="36" customHeight="1">
      <c r="A14" s="112"/>
      <c r="B14" s="111"/>
      <c r="C14" s="111"/>
      <c r="D14" s="110"/>
      <c r="E14" s="66" t="s">
        <v>268</v>
      </c>
      <c r="F14" s="41" t="s">
        <v>482</v>
      </c>
      <c r="G14" s="33" t="s">
        <v>399</v>
      </c>
      <c r="H14" s="71" t="s">
        <v>315</v>
      </c>
      <c r="I14" s="79"/>
    </row>
    <row r="15" spans="1:9" ht="36" customHeight="1"/>
    <row r="16" spans="1:9" ht="36" customHeight="1"/>
    <row r="17" ht="36" customHeight="1"/>
    <row r="18" ht="36" customHeight="1"/>
    <row r="19" ht="36" customHeight="1"/>
    <row r="20" ht="36" customHeight="1"/>
    <row r="21" ht="36" customHeight="1"/>
    <row r="22" ht="36" customHeight="1"/>
    <row r="23" ht="36" customHeight="1"/>
    <row r="24" ht="36" customHeight="1"/>
  </sheetData>
  <mergeCells count="6">
    <mergeCell ref="A2:A14"/>
    <mergeCell ref="D2:D4"/>
    <mergeCell ref="D5:D6"/>
    <mergeCell ref="D7:D14"/>
    <mergeCell ref="C2:C14"/>
    <mergeCell ref="B2:B14"/>
  </mergeCell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BB399-4475-4926-92CC-3BAF442C3A5B}">
  <dimension ref="A1:I14"/>
  <sheetViews>
    <sheetView workbookViewId="0">
      <selection activeCell="A2" sqref="A2:I14"/>
    </sheetView>
  </sheetViews>
  <sheetFormatPr defaultRowHeight="15"/>
  <cols>
    <col min="1" max="3" width="10.28515625" customWidth="1"/>
    <col min="4" max="4" width="12.140625" customWidth="1"/>
    <col min="5" max="5" width="9.85546875" customWidth="1"/>
    <col min="6" max="6" width="66" customWidth="1"/>
    <col min="7" max="7" width="17.85546875" customWidth="1"/>
    <col min="8" max="8" width="86" customWidth="1"/>
    <col min="9" max="9" width="64.5703125" customWidth="1"/>
  </cols>
  <sheetData>
    <row r="1" spans="1:9" ht="30.75">
      <c r="A1" s="54" t="s">
        <v>450</v>
      </c>
      <c r="B1" s="55" t="s">
        <v>15</v>
      </c>
      <c r="C1" s="55" t="s">
        <v>451</v>
      </c>
      <c r="D1" s="54" t="s">
        <v>1</v>
      </c>
      <c r="E1" s="54" t="s">
        <v>266</v>
      </c>
      <c r="F1" s="54" t="s">
        <v>16</v>
      </c>
      <c r="G1" s="62" t="s">
        <v>17</v>
      </c>
      <c r="H1" s="49" t="s">
        <v>18</v>
      </c>
      <c r="I1" s="50" t="s">
        <v>19</v>
      </c>
    </row>
    <row r="2" spans="1:9" ht="39.75" customHeight="1">
      <c r="A2" s="143">
        <v>46175</v>
      </c>
      <c r="B2" s="140" t="s">
        <v>491</v>
      </c>
      <c r="C2" s="140" t="s">
        <v>375</v>
      </c>
      <c r="D2" s="113" t="s">
        <v>3</v>
      </c>
      <c r="E2" s="81" t="s">
        <v>268</v>
      </c>
      <c r="F2" s="67" t="s">
        <v>482</v>
      </c>
      <c r="G2" s="82" t="s">
        <v>399</v>
      </c>
      <c r="H2" s="83" t="s">
        <v>315</v>
      </c>
      <c r="I2" s="84" t="s">
        <v>497</v>
      </c>
    </row>
    <row r="3" spans="1:9" ht="39.75" customHeight="1">
      <c r="A3" s="144"/>
      <c r="B3" s="141"/>
      <c r="C3" s="141"/>
      <c r="D3" s="114"/>
      <c r="E3" s="66" t="s">
        <v>268</v>
      </c>
      <c r="F3" s="41" t="s">
        <v>496</v>
      </c>
      <c r="G3" s="33" t="s">
        <v>196</v>
      </c>
      <c r="H3" s="71" t="s">
        <v>315</v>
      </c>
      <c r="I3" s="79" t="s">
        <v>498</v>
      </c>
    </row>
    <row r="4" spans="1:9" ht="39.75" customHeight="1">
      <c r="A4" s="144"/>
      <c r="B4" s="141"/>
      <c r="C4" s="141"/>
      <c r="D4" s="115"/>
      <c r="E4" s="66" t="s">
        <v>277</v>
      </c>
      <c r="F4" s="41" t="s">
        <v>499</v>
      </c>
      <c r="G4" s="82" t="s">
        <v>314</v>
      </c>
      <c r="H4" s="83" t="s">
        <v>500</v>
      </c>
      <c r="I4" s="79" t="s">
        <v>501</v>
      </c>
    </row>
    <row r="5" spans="1:9" ht="39.75" customHeight="1">
      <c r="A5" s="144"/>
      <c r="B5" s="141"/>
      <c r="C5" s="141"/>
      <c r="D5" s="114" t="s">
        <v>24</v>
      </c>
      <c r="E5" s="66" t="s">
        <v>277</v>
      </c>
      <c r="F5" s="41" t="s">
        <v>502</v>
      </c>
      <c r="G5" s="33" t="s">
        <v>294</v>
      </c>
      <c r="H5" s="83" t="s">
        <v>315</v>
      </c>
      <c r="I5" s="79"/>
    </row>
    <row r="6" spans="1:9" ht="39.75" customHeight="1">
      <c r="A6" s="144"/>
      <c r="B6" s="141"/>
      <c r="C6" s="141"/>
      <c r="D6" s="115"/>
      <c r="E6" s="66" t="s">
        <v>288</v>
      </c>
      <c r="F6" s="41" t="s">
        <v>503</v>
      </c>
      <c r="G6" s="33" t="s">
        <v>399</v>
      </c>
      <c r="H6" s="83" t="s">
        <v>504</v>
      </c>
      <c r="I6" s="79"/>
    </row>
    <row r="7" spans="1:9" ht="39.75" customHeight="1">
      <c r="A7" s="144"/>
      <c r="B7" s="141"/>
      <c r="C7" s="141"/>
      <c r="D7" s="113" t="s">
        <v>28</v>
      </c>
      <c r="E7" s="66" t="s">
        <v>277</v>
      </c>
      <c r="F7" s="41" t="s">
        <v>335</v>
      </c>
      <c r="G7" s="33" t="s">
        <v>201</v>
      </c>
      <c r="H7" s="61" t="s">
        <v>483</v>
      </c>
      <c r="I7" s="61"/>
    </row>
    <row r="8" spans="1:9" ht="39.75" customHeight="1">
      <c r="A8" s="144"/>
      <c r="B8" s="141"/>
      <c r="C8" s="141"/>
      <c r="D8" s="114"/>
      <c r="E8" s="66" t="s">
        <v>268</v>
      </c>
      <c r="F8" s="41" t="s">
        <v>359</v>
      </c>
      <c r="G8" s="33" t="s">
        <v>294</v>
      </c>
      <c r="H8" s="60" t="s">
        <v>485</v>
      </c>
      <c r="I8" s="61"/>
    </row>
    <row r="9" spans="1:9" ht="39.75" customHeight="1">
      <c r="A9" s="144"/>
      <c r="B9" s="141"/>
      <c r="C9" s="141"/>
      <c r="D9" s="114"/>
      <c r="E9" s="66" t="s">
        <v>355</v>
      </c>
      <c r="F9" s="41" t="s">
        <v>376</v>
      </c>
      <c r="G9" s="33" t="s">
        <v>377</v>
      </c>
      <c r="H9" s="60" t="s">
        <v>486</v>
      </c>
      <c r="I9" s="61"/>
    </row>
    <row r="10" spans="1:9" ht="39.75" customHeight="1">
      <c r="A10" s="144"/>
      <c r="B10" s="141"/>
      <c r="C10" s="141"/>
      <c r="D10" s="114"/>
      <c r="E10" s="66" t="s">
        <v>355</v>
      </c>
      <c r="F10" s="41" t="s">
        <v>398</v>
      </c>
      <c r="G10" s="33" t="s">
        <v>399</v>
      </c>
      <c r="H10" s="60" t="s">
        <v>487</v>
      </c>
      <c r="I10" s="61"/>
    </row>
    <row r="11" spans="1:9" ht="39.75" customHeight="1">
      <c r="A11" s="144"/>
      <c r="B11" s="141"/>
      <c r="C11" s="141"/>
      <c r="D11" s="114"/>
      <c r="E11" s="66" t="s">
        <v>355</v>
      </c>
      <c r="F11" s="41" t="s">
        <v>413</v>
      </c>
      <c r="G11" s="33" t="s">
        <v>399</v>
      </c>
      <c r="H11" s="60" t="s">
        <v>488</v>
      </c>
      <c r="I11" s="61"/>
    </row>
    <row r="12" spans="1:9" ht="39.75" customHeight="1">
      <c r="A12" s="144"/>
      <c r="B12" s="141"/>
      <c r="C12" s="141"/>
      <c r="D12" s="114"/>
      <c r="E12" s="66" t="s">
        <v>268</v>
      </c>
      <c r="F12" s="41" t="s">
        <v>431</v>
      </c>
      <c r="G12" s="33" t="s">
        <v>399</v>
      </c>
      <c r="H12" s="60" t="s">
        <v>315</v>
      </c>
      <c r="I12" s="61"/>
    </row>
    <row r="13" spans="1:9" ht="39.75" customHeight="1">
      <c r="A13" s="144"/>
      <c r="B13" s="141"/>
      <c r="C13" s="141"/>
      <c r="D13" s="114"/>
      <c r="E13" s="66" t="s">
        <v>268</v>
      </c>
      <c r="F13" s="41" t="s">
        <v>456</v>
      </c>
      <c r="G13" s="33" t="s">
        <v>379</v>
      </c>
      <c r="H13" s="71" t="s">
        <v>489</v>
      </c>
      <c r="I13" s="36"/>
    </row>
    <row r="14" spans="1:9" ht="39.75" customHeight="1">
      <c r="A14" s="145"/>
      <c r="B14" s="142"/>
      <c r="C14" s="142"/>
      <c r="D14" s="115"/>
      <c r="E14" s="48" t="s">
        <v>268</v>
      </c>
      <c r="F14" s="41" t="s">
        <v>494</v>
      </c>
      <c r="G14" s="60" t="s">
        <v>294</v>
      </c>
      <c r="H14" s="60" t="s">
        <v>505</v>
      </c>
      <c r="I14" s="36"/>
    </row>
  </sheetData>
  <mergeCells count="6">
    <mergeCell ref="D7:D14"/>
    <mergeCell ref="C2:C14"/>
    <mergeCell ref="B2:B14"/>
    <mergeCell ref="A2:A14"/>
    <mergeCell ref="D5:D6"/>
    <mergeCell ref="D2:D4"/>
  </mergeCell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3F226-0A68-4A26-98A5-FEDB50F79F3F}">
  <dimension ref="A1:I15"/>
  <sheetViews>
    <sheetView workbookViewId="0">
      <selection activeCell="F7" sqref="F7"/>
    </sheetView>
  </sheetViews>
  <sheetFormatPr defaultRowHeight="15"/>
  <cols>
    <col min="1" max="2" width="10.5703125" customWidth="1"/>
    <col min="3" max="3" width="11" customWidth="1"/>
    <col min="4" max="4" width="13.28515625" customWidth="1"/>
    <col min="5" max="5" width="11.28515625" customWidth="1"/>
    <col min="6" max="6" width="63.28515625" customWidth="1"/>
    <col min="7" max="7" width="19" customWidth="1"/>
    <col min="8" max="8" width="57.42578125" customWidth="1"/>
    <col min="9" max="9" width="61.85546875" customWidth="1"/>
  </cols>
  <sheetData>
    <row r="1" spans="1:9" ht="30.75">
      <c r="A1" s="54" t="s">
        <v>450</v>
      </c>
      <c r="B1" s="55" t="s">
        <v>15</v>
      </c>
      <c r="C1" s="55" t="s">
        <v>451</v>
      </c>
      <c r="D1" s="54" t="s">
        <v>1</v>
      </c>
      <c r="E1" s="54" t="s">
        <v>266</v>
      </c>
      <c r="F1" s="54" t="s">
        <v>16</v>
      </c>
      <c r="G1" s="62" t="s">
        <v>17</v>
      </c>
      <c r="H1" s="49" t="s">
        <v>18</v>
      </c>
      <c r="I1" s="50" t="s">
        <v>19</v>
      </c>
    </row>
    <row r="2" spans="1:9" ht="30.75" customHeight="1">
      <c r="A2" s="112">
        <v>46176</v>
      </c>
      <c r="B2" s="111" t="s">
        <v>506</v>
      </c>
      <c r="C2" s="111" t="s">
        <v>375</v>
      </c>
      <c r="D2" s="113" t="s">
        <v>3</v>
      </c>
      <c r="E2" s="66" t="s">
        <v>268</v>
      </c>
      <c r="F2" s="67" t="s">
        <v>507</v>
      </c>
      <c r="G2" s="82" t="s">
        <v>314</v>
      </c>
      <c r="H2" s="83" t="s">
        <v>508</v>
      </c>
      <c r="I2" s="87" t="s">
        <v>509</v>
      </c>
    </row>
    <row r="3" spans="1:9" ht="30.75" customHeight="1">
      <c r="A3" s="112"/>
      <c r="B3" s="111"/>
      <c r="C3" s="111"/>
      <c r="D3" s="114"/>
      <c r="E3" s="66" t="s">
        <v>355</v>
      </c>
      <c r="F3" s="41" t="s">
        <v>510</v>
      </c>
      <c r="G3" s="33" t="s">
        <v>399</v>
      </c>
      <c r="H3" s="60" t="s">
        <v>315</v>
      </c>
      <c r="I3" s="79" t="s">
        <v>511</v>
      </c>
    </row>
    <row r="4" spans="1:9" ht="30.75" customHeight="1">
      <c r="A4" s="112"/>
      <c r="B4" s="111"/>
      <c r="C4" s="111"/>
      <c r="D4" s="113" t="s">
        <v>24</v>
      </c>
      <c r="E4" s="66" t="s">
        <v>288</v>
      </c>
      <c r="F4" s="41" t="s">
        <v>512</v>
      </c>
      <c r="G4" s="33" t="s">
        <v>399</v>
      </c>
      <c r="H4" s="83" t="s">
        <v>513</v>
      </c>
      <c r="I4" s="79"/>
    </row>
    <row r="5" spans="1:9" ht="30.75" customHeight="1">
      <c r="A5" s="112"/>
      <c r="B5" s="111"/>
      <c r="C5" s="111"/>
      <c r="D5" s="115"/>
      <c r="E5" s="66" t="s">
        <v>277</v>
      </c>
      <c r="F5" s="41" t="s">
        <v>514</v>
      </c>
      <c r="G5" s="33" t="s">
        <v>515</v>
      </c>
      <c r="H5" s="83" t="s">
        <v>516</v>
      </c>
      <c r="I5" s="79"/>
    </row>
    <row r="6" spans="1:9" ht="30.75" customHeight="1">
      <c r="A6" s="112"/>
      <c r="B6" s="111"/>
      <c r="C6" s="111"/>
      <c r="D6" s="110" t="s">
        <v>371</v>
      </c>
      <c r="E6" s="66" t="s">
        <v>277</v>
      </c>
      <c r="F6" s="41" t="s">
        <v>335</v>
      </c>
      <c r="G6" s="33" t="s">
        <v>201</v>
      </c>
      <c r="H6" s="61" t="s">
        <v>483</v>
      </c>
      <c r="I6" s="61"/>
    </row>
    <row r="7" spans="1:9" ht="30.75" customHeight="1">
      <c r="A7" s="112"/>
      <c r="B7" s="111"/>
      <c r="C7" s="111"/>
      <c r="D7" s="110"/>
      <c r="E7" s="66" t="s">
        <v>268</v>
      </c>
      <c r="F7" s="41" t="s">
        <v>359</v>
      </c>
      <c r="G7" s="33" t="s">
        <v>294</v>
      </c>
      <c r="H7" s="60" t="s">
        <v>485</v>
      </c>
      <c r="I7" s="61"/>
    </row>
    <row r="8" spans="1:9" ht="30.75" customHeight="1">
      <c r="A8" s="112"/>
      <c r="B8" s="111"/>
      <c r="C8" s="111"/>
      <c r="D8" s="110"/>
      <c r="E8" s="66" t="s">
        <v>355</v>
      </c>
      <c r="F8" s="41" t="s">
        <v>376</v>
      </c>
      <c r="G8" s="33" t="s">
        <v>377</v>
      </c>
      <c r="H8" s="60" t="s">
        <v>486</v>
      </c>
      <c r="I8" s="61"/>
    </row>
    <row r="9" spans="1:9" ht="30.75" customHeight="1">
      <c r="A9" s="112"/>
      <c r="B9" s="111"/>
      <c r="C9" s="111"/>
      <c r="D9" s="110"/>
      <c r="E9" s="66" t="s">
        <v>355</v>
      </c>
      <c r="F9" s="41" t="s">
        <v>398</v>
      </c>
      <c r="G9" s="33" t="s">
        <v>399</v>
      </c>
      <c r="H9" s="60" t="s">
        <v>487</v>
      </c>
      <c r="I9" s="61"/>
    </row>
    <row r="10" spans="1:9" ht="30.75" customHeight="1">
      <c r="A10" s="112"/>
      <c r="B10" s="111"/>
      <c r="C10" s="111"/>
      <c r="D10" s="110"/>
      <c r="E10" s="66" t="s">
        <v>355</v>
      </c>
      <c r="F10" s="41" t="s">
        <v>413</v>
      </c>
      <c r="G10" s="33" t="s">
        <v>399</v>
      </c>
      <c r="H10" s="60" t="s">
        <v>488</v>
      </c>
      <c r="I10" s="61"/>
    </row>
    <row r="11" spans="1:9" ht="30.75" customHeight="1">
      <c r="A11" s="112"/>
      <c r="B11" s="111"/>
      <c r="C11" s="111"/>
      <c r="D11" s="110"/>
      <c r="E11" s="66" t="s">
        <v>268</v>
      </c>
      <c r="F11" s="41" t="s">
        <v>431</v>
      </c>
      <c r="G11" s="33" t="s">
        <v>399</v>
      </c>
      <c r="H11" s="60" t="s">
        <v>315</v>
      </c>
      <c r="I11" s="61"/>
    </row>
    <row r="12" spans="1:9" ht="30.75" customHeight="1">
      <c r="A12" s="112"/>
      <c r="B12" s="111"/>
      <c r="C12" s="111"/>
      <c r="D12" s="110"/>
      <c r="E12" s="66" t="s">
        <v>268</v>
      </c>
      <c r="F12" s="41" t="s">
        <v>456</v>
      </c>
      <c r="G12" s="33" t="s">
        <v>379</v>
      </c>
      <c r="H12" s="71" t="s">
        <v>489</v>
      </c>
      <c r="I12" s="36"/>
    </row>
    <row r="13" spans="1:9" ht="30.75" customHeight="1">
      <c r="A13" s="112"/>
      <c r="B13" s="111"/>
      <c r="C13" s="111"/>
      <c r="D13" s="110"/>
      <c r="E13" s="66" t="s">
        <v>268</v>
      </c>
      <c r="F13" s="41" t="s">
        <v>494</v>
      </c>
      <c r="G13" s="60" t="s">
        <v>294</v>
      </c>
      <c r="H13" s="60" t="s">
        <v>505</v>
      </c>
      <c r="I13" s="36"/>
    </row>
    <row r="14" spans="1:9" ht="29.25">
      <c r="A14" s="112"/>
      <c r="B14" s="111"/>
      <c r="C14" s="111"/>
      <c r="D14" s="110"/>
      <c r="E14" s="66" t="s">
        <v>277</v>
      </c>
      <c r="F14" s="41" t="s">
        <v>502</v>
      </c>
      <c r="G14" s="33" t="s">
        <v>294</v>
      </c>
      <c r="H14" s="83" t="s">
        <v>315</v>
      </c>
      <c r="I14" s="79"/>
    </row>
    <row r="15" spans="1:9" ht="29.25">
      <c r="A15" s="112"/>
      <c r="B15" s="111"/>
      <c r="C15" s="111"/>
      <c r="D15" s="110"/>
      <c r="E15" s="66" t="s">
        <v>288</v>
      </c>
      <c r="F15" s="41" t="s">
        <v>503</v>
      </c>
      <c r="G15" s="85" t="s">
        <v>399</v>
      </c>
      <c r="H15" s="60" t="s">
        <v>504</v>
      </c>
      <c r="I15" s="86"/>
    </row>
  </sheetData>
  <mergeCells count="6">
    <mergeCell ref="A2:A15"/>
    <mergeCell ref="D4:D5"/>
    <mergeCell ref="D6:D15"/>
    <mergeCell ref="C2:C15"/>
    <mergeCell ref="B2:B15"/>
    <mergeCell ref="D2:D3"/>
  </mergeCell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EB929-5863-4DB6-B453-440C60820F2A}">
  <dimension ref="A1:I18"/>
  <sheetViews>
    <sheetView workbookViewId="0">
      <selection activeCell="I15" sqref="I15"/>
    </sheetView>
  </sheetViews>
  <sheetFormatPr defaultRowHeight="15"/>
  <cols>
    <col min="1" max="1" width="8.85546875" customWidth="1"/>
    <col min="2" max="2" width="11.7109375" customWidth="1"/>
    <col min="3" max="3" width="9.85546875" customWidth="1"/>
    <col min="4" max="4" width="13.7109375" customWidth="1"/>
    <col min="5" max="5" width="13.140625" customWidth="1"/>
    <col min="6" max="6" width="70.28515625" customWidth="1"/>
    <col min="7" max="7" width="17.7109375" customWidth="1"/>
    <col min="8" max="8" width="84.42578125" customWidth="1"/>
    <col min="9" max="9" width="79.85546875" customWidth="1"/>
  </cols>
  <sheetData>
    <row r="1" spans="1:9" ht="15.75">
      <c r="A1" s="54" t="s">
        <v>450</v>
      </c>
      <c r="B1" s="55" t="s">
        <v>15</v>
      </c>
      <c r="C1" s="55" t="s">
        <v>451</v>
      </c>
      <c r="D1" s="54" t="s">
        <v>1</v>
      </c>
      <c r="E1" s="54" t="s">
        <v>266</v>
      </c>
      <c r="F1" s="54" t="s">
        <v>16</v>
      </c>
      <c r="G1" s="62" t="s">
        <v>17</v>
      </c>
      <c r="H1" s="49" t="s">
        <v>18</v>
      </c>
      <c r="I1" s="50" t="s">
        <v>19</v>
      </c>
    </row>
    <row r="2" spans="1:9" ht="35.25" customHeight="1">
      <c r="A2" s="112">
        <v>46177</v>
      </c>
      <c r="B2" s="111" t="s">
        <v>517</v>
      </c>
      <c r="C2" s="111" t="s">
        <v>375</v>
      </c>
      <c r="D2" s="56" t="s">
        <v>3</v>
      </c>
      <c r="E2" s="48" t="s">
        <v>268</v>
      </c>
      <c r="F2" s="52" t="s">
        <v>518</v>
      </c>
      <c r="G2" s="33" t="s">
        <v>399</v>
      </c>
      <c r="H2" s="83" t="s">
        <v>315</v>
      </c>
      <c r="I2" s="87" t="s">
        <v>519</v>
      </c>
    </row>
    <row r="3" spans="1:9" ht="35.25" customHeight="1">
      <c r="A3" s="112"/>
      <c r="B3" s="111"/>
      <c r="C3" s="111"/>
      <c r="D3" s="113" t="s">
        <v>24</v>
      </c>
      <c r="E3" s="48" t="s">
        <v>277</v>
      </c>
      <c r="F3" s="52" t="s">
        <v>520</v>
      </c>
      <c r="G3" s="33" t="s">
        <v>521</v>
      </c>
      <c r="H3" s="83" t="s">
        <v>315</v>
      </c>
      <c r="I3" s="79"/>
    </row>
    <row r="4" spans="1:9" ht="35.25" customHeight="1">
      <c r="A4" s="112"/>
      <c r="B4" s="111"/>
      <c r="C4" s="111"/>
      <c r="D4" s="114"/>
      <c r="E4" s="48" t="s">
        <v>268</v>
      </c>
      <c r="F4" s="52" t="s">
        <v>522</v>
      </c>
      <c r="G4" s="33" t="s">
        <v>399</v>
      </c>
      <c r="H4" s="83" t="s">
        <v>315</v>
      </c>
      <c r="I4" s="79"/>
    </row>
    <row r="5" spans="1:9" ht="35.25" customHeight="1">
      <c r="A5" s="112"/>
      <c r="B5" s="111"/>
      <c r="C5" s="111"/>
      <c r="D5" s="114"/>
      <c r="E5" s="48" t="s">
        <v>277</v>
      </c>
      <c r="F5" s="52" t="s">
        <v>523</v>
      </c>
      <c r="G5" s="33" t="s">
        <v>521</v>
      </c>
      <c r="H5" s="83" t="s">
        <v>315</v>
      </c>
      <c r="I5" s="79"/>
    </row>
    <row r="6" spans="1:9" ht="35.25" customHeight="1">
      <c r="A6" s="112"/>
      <c r="B6" s="111"/>
      <c r="C6" s="111"/>
      <c r="D6" s="115"/>
      <c r="E6" s="48" t="s">
        <v>277</v>
      </c>
      <c r="F6" s="52" t="s">
        <v>524</v>
      </c>
      <c r="G6" s="60" t="s">
        <v>294</v>
      </c>
      <c r="H6" s="83" t="s">
        <v>525</v>
      </c>
      <c r="I6" s="79"/>
    </row>
    <row r="7" spans="1:9" ht="35.25" customHeight="1">
      <c r="A7" s="112"/>
      <c r="B7" s="111"/>
      <c r="C7" s="111"/>
      <c r="D7" s="110" t="s">
        <v>371</v>
      </c>
      <c r="E7" s="48" t="s">
        <v>277</v>
      </c>
      <c r="F7" s="52" t="s">
        <v>335</v>
      </c>
      <c r="G7" s="33" t="s">
        <v>201</v>
      </c>
      <c r="H7" s="61" t="s">
        <v>483</v>
      </c>
      <c r="I7" s="61"/>
    </row>
    <row r="8" spans="1:9" ht="35.25" customHeight="1">
      <c r="A8" s="112"/>
      <c r="B8" s="111"/>
      <c r="C8" s="111"/>
      <c r="D8" s="110"/>
      <c r="E8" s="48" t="s">
        <v>268</v>
      </c>
      <c r="F8" s="52" t="s">
        <v>359</v>
      </c>
      <c r="G8" s="33" t="s">
        <v>294</v>
      </c>
      <c r="H8" s="60" t="s">
        <v>485</v>
      </c>
      <c r="I8" s="61"/>
    </row>
    <row r="9" spans="1:9" ht="35.25" customHeight="1">
      <c r="A9" s="112"/>
      <c r="B9" s="111"/>
      <c r="C9" s="111"/>
      <c r="D9" s="110"/>
      <c r="E9" s="48" t="s">
        <v>355</v>
      </c>
      <c r="F9" s="52" t="s">
        <v>376</v>
      </c>
      <c r="G9" s="33" t="s">
        <v>377</v>
      </c>
      <c r="H9" s="60" t="s">
        <v>486</v>
      </c>
      <c r="I9" s="61"/>
    </row>
    <row r="10" spans="1:9" ht="35.25" customHeight="1">
      <c r="A10" s="112"/>
      <c r="B10" s="111"/>
      <c r="C10" s="111"/>
      <c r="D10" s="110"/>
      <c r="E10" s="48" t="s">
        <v>355</v>
      </c>
      <c r="F10" s="52" t="s">
        <v>398</v>
      </c>
      <c r="G10" s="33" t="s">
        <v>399</v>
      </c>
      <c r="H10" s="60" t="s">
        <v>526</v>
      </c>
      <c r="I10" s="61"/>
    </row>
    <row r="11" spans="1:9" ht="35.25" customHeight="1">
      <c r="A11" s="112"/>
      <c r="B11" s="111"/>
      <c r="C11" s="111"/>
      <c r="D11" s="110"/>
      <c r="E11" s="48" t="s">
        <v>355</v>
      </c>
      <c r="F11" s="52" t="s">
        <v>413</v>
      </c>
      <c r="G11" s="33" t="s">
        <v>399</v>
      </c>
      <c r="H11" s="60" t="s">
        <v>488</v>
      </c>
      <c r="I11" s="61"/>
    </row>
    <row r="12" spans="1:9" ht="35.25" customHeight="1">
      <c r="A12" s="112"/>
      <c r="B12" s="111"/>
      <c r="C12" s="111"/>
      <c r="D12" s="110"/>
      <c r="E12" s="48" t="s">
        <v>268</v>
      </c>
      <c r="F12" s="52" t="s">
        <v>431</v>
      </c>
      <c r="G12" s="33" t="s">
        <v>399</v>
      </c>
      <c r="H12" s="60" t="s">
        <v>526</v>
      </c>
      <c r="I12" s="61"/>
    </row>
    <row r="13" spans="1:9" ht="35.25" customHeight="1">
      <c r="A13" s="112"/>
      <c r="B13" s="111"/>
      <c r="C13" s="111"/>
      <c r="D13" s="110"/>
      <c r="E13" s="48" t="s">
        <v>268</v>
      </c>
      <c r="F13" s="52" t="s">
        <v>456</v>
      </c>
      <c r="G13" s="33" t="s">
        <v>379</v>
      </c>
      <c r="H13" s="71" t="s">
        <v>489</v>
      </c>
      <c r="I13" s="36"/>
    </row>
    <row r="14" spans="1:9" ht="35.25" customHeight="1">
      <c r="A14" s="112"/>
      <c r="B14" s="111"/>
      <c r="C14" s="111"/>
      <c r="D14" s="110"/>
      <c r="E14" s="48" t="s">
        <v>268</v>
      </c>
      <c r="F14" s="52" t="s">
        <v>494</v>
      </c>
      <c r="G14" s="60" t="s">
        <v>294</v>
      </c>
      <c r="H14" s="60" t="s">
        <v>505</v>
      </c>
      <c r="I14" s="36"/>
    </row>
    <row r="15" spans="1:9" ht="35.25" customHeight="1">
      <c r="A15" s="112"/>
      <c r="B15" s="111"/>
      <c r="C15" s="111"/>
      <c r="D15" s="110"/>
      <c r="E15" s="48" t="s">
        <v>277</v>
      </c>
      <c r="F15" s="52" t="s">
        <v>502</v>
      </c>
      <c r="G15" s="33" t="s">
        <v>294</v>
      </c>
      <c r="H15" s="83" t="s">
        <v>315</v>
      </c>
      <c r="I15" s="79"/>
    </row>
    <row r="16" spans="1:9" ht="35.25" customHeight="1">
      <c r="A16" s="112"/>
      <c r="B16" s="111"/>
      <c r="C16" s="111"/>
      <c r="D16" s="110"/>
      <c r="E16" s="48" t="s">
        <v>288</v>
      </c>
      <c r="F16" s="52" t="s">
        <v>503</v>
      </c>
      <c r="G16" s="85" t="s">
        <v>399</v>
      </c>
      <c r="H16" s="60" t="s">
        <v>527</v>
      </c>
      <c r="I16" s="86"/>
    </row>
    <row r="17" spans="1:9" ht="29.25">
      <c r="A17" s="112"/>
      <c r="B17" s="111"/>
      <c r="C17" s="111"/>
      <c r="D17" s="110"/>
      <c r="E17" s="48" t="s">
        <v>288</v>
      </c>
      <c r="F17" s="52" t="s">
        <v>512</v>
      </c>
      <c r="G17" s="33" t="s">
        <v>399</v>
      </c>
      <c r="H17" s="83" t="s">
        <v>513</v>
      </c>
      <c r="I17" s="79"/>
    </row>
    <row r="18" spans="1:9" ht="48" customHeight="1">
      <c r="A18" s="112"/>
      <c r="B18" s="111"/>
      <c r="C18" s="111"/>
      <c r="D18" s="110"/>
      <c r="E18" s="48" t="s">
        <v>277</v>
      </c>
      <c r="F18" s="52" t="s">
        <v>514</v>
      </c>
      <c r="G18" s="85" t="s">
        <v>515</v>
      </c>
      <c r="H18" s="60" t="s">
        <v>516</v>
      </c>
      <c r="I18" s="86"/>
    </row>
  </sheetData>
  <mergeCells count="5">
    <mergeCell ref="A2:A18"/>
    <mergeCell ref="D7:D18"/>
    <mergeCell ref="C2:C18"/>
    <mergeCell ref="B2:B18"/>
    <mergeCell ref="D3:D6"/>
  </mergeCell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5B72B-581D-4BEB-8347-99A5E5C06D83}">
  <dimension ref="A1:I22"/>
  <sheetViews>
    <sheetView topLeftCell="A5" workbookViewId="0">
      <selection sqref="A1:I22"/>
    </sheetView>
  </sheetViews>
  <sheetFormatPr defaultRowHeight="15"/>
  <cols>
    <col min="1" max="1" width="9.42578125" customWidth="1"/>
    <col min="2" max="2" width="11.140625" customWidth="1"/>
    <col min="3" max="3" width="9" customWidth="1"/>
    <col min="4" max="4" width="13.42578125" customWidth="1"/>
    <col min="5" max="5" width="11.42578125" customWidth="1"/>
    <col min="6" max="6" width="68.5703125" customWidth="1"/>
    <col min="7" max="7" width="18.42578125" customWidth="1"/>
    <col min="8" max="9" width="58.7109375" customWidth="1"/>
  </cols>
  <sheetData>
    <row r="1" spans="1:9" ht="15.75">
      <c r="A1" s="54" t="s">
        <v>450</v>
      </c>
      <c r="B1" s="55" t="s">
        <v>15</v>
      </c>
      <c r="C1" s="55" t="s">
        <v>451</v>
      </c>
      <c r="D1" s="54" t="s">
        <v>1</v>
      </c>
      <c r="E1" s="54" t="s">
        <v>266</v>
      </c>
      <c r="F1" s="54" t="s">
        <v>16</v>
      </c>
      <c r="G1" s="62" t="s">
        <v>17</v>
      </c>
      <c r="H1" s="49" t="s">
        <v>18</v>
      </c>
      <c r="I1" s="50" t="s">
        <v>19</v>
      </c>
    </row>
    <row r="2" spans="1:9" ht="28.5" customHeight="1">
      <c r="A2" s="112">
        <v>46178</v>
      </c>
      <c r="B2" s="111" t="s">
        <v>528</v>
      </c>
      <c r="C2" s="111" t="s">
        <v>375</v>
      </c>
      <c r="D2" s="113" t="s">
        <v>3</v>
      </c>
      <c r="E2" s="48" t="s">
        <v>277</v>
      </c>
      <c r="F2" s="52" t="s">
        <v>520</v>
      </c>
      <c r="G2" s="85" t="s">
        <v>521</v>
      </c>
      <c r="H2" s="60" t="s">
        <v>529</v>
      </c>
      <c r="I2" s="87" t="s">
        <v>530</v>
      </c>
    </row>
    <row r="3" spans="1:9" ht="28.5" customHeight="1">
      <c r="A3" s="112"/>
      <c r="B3" s="111"/>
      <c r="C3" s="111"/>
      <c r="D3" s="114"/>
      <c r="E3" s="48" t="s">
        <v>277</v>
      </c>
      <c r="F3" s="52" t="s">
        <v>524</v>
      </c>
      <c r="G3" s="71" t="s">
        <v>294</v>
      </c>
      <c r="H3" s="60" t="s">
        <v>525</v>
      </c>
      <c r="I3" s="87" t="s">
        <v>531</v>
      </c>
    </row>
    <row r="4" spans="1:9" ht="28.5" customHeight="1">
      <c r="A4" s="112"/>
      <c r="B4" s="111"/>
      <c r="C4" s="111"/>
      <c r="D4" s="114"/>
      <c r="E4" s="48" t="s">
        <v>268</v>
      </c>
      <c r="F4" s="52" t="s">
        <v>532</v>
      </c>
      <c r="G4" s="85" t="s">
        <v>177</v>
      </c>
      <c r="H4" s="83"/>
      <c r="I4" s="87" t="s">
        <v>533</v>
      </c>
    </row>
    <row r="5" spans="1:9" ht="28.5" customHeight="1">
      <c r="A5" s="112"/>
      <c r="B5" s="111"/>
      <c r="C5" s="111"/>
      <c r="D5" s="115"/>
      <c r="E5" s="48" t="s">
        <v>277</v>
      </c>
      <c r="F5" s="52" t="s">
        <v>523</v>
      </c>
      <c r="G5" s="85" t="s">
        <v>521</v>
      </c>
      <c r="H5" s="60" t="s">
        <v>534</v>
      </c>
      <c r="I5" s="87" t="s">
        <v>535</v>
      </c>
    </row>
    <row r="6" spans="1:9" ht="28.5" customHeight="1">
      <c r="A6" s="112"/>
      <c r="B6" s="111"/>
      <c r="C6" s="111"/>
      <c r="D6" s="113" t="s">
        <v>24</v>
      </c>
      <c r="E6" s="48" t="s">
        <v>277</v>
      </c>
      <c r="F6" s="52" t="s">
        <v>536</v>
      </c>
      <c r="G6" s="33" t="s">
        <v>399</v>
      </c>
      <c r="H6" s="83" t="s">
        <v>315</v>
      </c>
      <c r="I6" s="79"/>
    </row>
    <row r="7" spans="1:9" ht="28.5" customHeight="1">
      <c r="A7" s="112"/>
      <c r="B7" s="111"/>
      <c r="C7" s="111"/>
      <c r="D7" s="114"/>
      <c r="E7" s="48" t="s">
        <v>277</v>
      </c>
      <c r="F7" s="52" t="s">
        <v>537</v>
      </c>
      <c r="G7" s="33" t="s">
        <v>538</v>
      </c>
      <c r="H7" s="83" t="s">
        <v>315</v>
      </c>
      <c r="I7" s="79"/>
    </row>
    <row r="8" spans="1:9" ht="28.5" customHeight="1">
      <c r="A8" s="112"/>
      <c r="B8" s="111"/>
      <c r="C8" s="111"/>
      <c r="D8" s="114"/>
      <c r="E8" s="48" t="s">
        <v>277</v>
      </c>
      <c r="F8" s="52" t="s">
        <v>539</v>
      </c>
      <c r="G8" s="33" t="s">
        <v>201</v>
      </c>
      <c r="H8" s="83" t="s">
        <v>315</v>
      </c>
      <c r="I8" s="79"/>
    </row>
    <row r="9" spans="1:9" ht="28.5" customHeight="1">
      <c r="A9" s="112"/>
      <c r="B9" s="111"/>
      <c r="C9" s="111"/>
      <c r="D9" s="115"/>
      <c r="E9" s="48" t="s">
        <v>268</v>
      </c>
      <c r="F9" s="52" t="s">
        <v>540</v>
      </c>
      <c r="G9" s="33" t="s">
        <v>294</v>
      </c>
      <c r="H9" s="83" t="s">
        <v>541</v>
      </c>
      <c r="I9" s="79"/>
    </row>
    <row r="10" spans="1:9" ht="28.5" customHeight="1">
      <c r="A10" s="112"/>
      <c r="B10" s="111"/>
      <c r="C10" s="111"/>
      <c r="D10" s="110" t="s">
        <v>371</v>
      </c>
      <c r="E10" s="48" t="s">
        <v>277</v>
      </c>
      <c r="F10" s="52" t="s">
        <v>335</v>
      </c>
      <c r="G10" s="33" t="s">
        <v>201</v>
      </c>
      <c r="H10" s="61" t="s">
        <v>483</v>
      </c>
      <c r="I10" s="61"/>
    </row>
    <row r="11" spans="1:9" ht="28.5" customHeight="1">
      <c r="A11" s="112"/>
      <c r="B11" s="111"/>
      <c r="C11" s="111"/>
      <c r="D11" s="110"/>
      <c r="E11" s="48" t="s">
        <v>268</v>
      </c>
      <c r="F11" s="52" t="s">
        <v>359</v>
      </c>
      <c r="G11" s="33" t="s">
        <v>294</v>
      </c>
      <c r="H11" s="60" t="s">
        <v>485</v>
      </c>
      <c r="I11" s="61"/>
    </row>
    <row r="12" spans="1:9" ht="28.5" customHeight="1">
      <c r="A12" s="112"/>
      <c r="B12" s="111"/>
      <c r="C12" s="111"/>
      <c r="D12" s="110"/>
      <c r="E12" s="48" t="s">
        <v>355</v>
      </c>
      <c r="F12" s="52" t="s">
        <v>376</v>
      </c>
      <c r="G12" s="33" t="s">
        <v>377</v>
      </c>
      <c r="H12" s="60" t="s">
        <v>486</v>
      </c>
      <c r="I12" s="61"/>
    </row>
    <row r="13" spans="1:9" ht="28.5" customHeight="1">
      <c r="A13" s="112"/>
      <c r="B13" s="111"/>
      <c r="C13" s="111"/>
      <c r="D13" s="110"/>
      <c r="E13" s="48" t="s">
        <v>355</v>
      </c>
      <c r="F13" s="52" t="s">
        <v>398</v>
      </c>
      <c r="G13" s="33" t="s">
        <v>399</v>
      </c>
      <c r="H13" s="60" t="s">
        <v>526</v>
      </c>
      <c r="I13" s="61"/>
    </row>
    <row r="14" spans="1:9" ht="27.75" customHeight="1">
      <c r="A14" s="112"/>
      <c r="B14" s="111"/>
      <c r="C14" s="111"/>
      <c r="D14" s="110"/>
      <c r="E14" s="48" t="s">
        <v>355</v>
      </c>
      <c r="F14" s="52" t="s">
        <v>413</v>
      </c>
      <c r="G14" s="33" t="s">
        <v>399</v>
      </c>
      <c r="H14" s="60" t="s">
        <v>488</v>
      </c>
      <c r="I14" s="61"/>
    </row>
    <row r="15" spans="1:9" ht="28.5" customHeight="1">
      <c r="A15" s="112"/>
      <c r="B15" s="111"/>
      <c r="C15" s="111"/>
      <c r="D15" s="110"/>
      <c r="E15" s="48" t="s">
        <v>268</v>
      </c>
      <c r="F15" s="52" t="s">
        <v>431</v>
      </c>
      <c r="G15" s="33" t="s">
        <v>399</v>
      </c>
      <c r="H15" s="60" t="s">
        <v>526</v>
      </c>
      <c r="I15" s="61"/>
    </row>
    <row r="16" spans="1:9" ht="28.5" customHeight="1">
      <c r="A16" s="112"/>
      <c r="B16" s="111"/>
      <c r="C16" s="111"/>
      <c r="D16" s="110"/>
      <c r="E16" s="48" t="s">
        <v>268</v>
      </c>
      <c r="F16" s="52" t="s">
        <v>456</v>
      </c>
      <c r="G16" s="33" t="s">
        <v>379</v>
      </c>
      <c r="H16" s="71" t="s">
        <v>489</v>
      </c>
      <c r="I16" s="36"/>
    </row>
    <row r="17" spans="1:9" ht="28.5" customHeight="1">
      <c r="A17" s="112"/>
      <c r="B17" s="111"/>
      <c r="C17" s="111"/>
      <c r="D17" s="110"/>
      <c r="E17" s="48" t="s">
        <v>268</v>
      </c>
      <c r="F17" s="52" t="s">
        <v>494</v>
      </c>
      <c r="G17" s="60" t="s">
        <v>294</v>
      </c>
      <c r="H17" s="60" t="s">
        <v>505</v>
      </c>
      <c r="I17" s="36"/>
    </row>
    <row r="18" spans="1:9" ht="28.5" customHeight="1">
      <c r="A18" s="112"/>
      <c r="B18" s="111"/>
      <c r="C18" s="111"/>
      <c r="D18" s="110"/>
      <c r="E18" s="48" t="s">
        <v>277</v>
      </c>
      <c r="F18" s="52" t="s">
        <v>502</v>
      </c>
      <c r="G18" s="33" t="s">
        <v>294</v>
      </c>
      <c r="H18" s="83" t="s">
        <v>315</v>
      </c>
      <c r="I18" s="79"/>
    </row>
    <row r="19" spans="1:9" ht="28.5" customHeight="1">
      <c r="A19" s="112"/>
      <c r="B19" s="111"/>
      <c r="C19" s="111"/>
      <c r="D19" s="110"/>
      <c r="E19" s="48" t="s">
        <v>288</v>
      </c>
      <c r="F19" s="52" t="s">
        <v>503</v>
      </c>
      <c r="G19" s="85" t="s">
        <v>399</v>
      </c>
      <c r="H19" s="60" t="s">
        <v>527</v>
      </c>
      <c r="I19" s="86"/>
    </row>
    <row r="20" spans="1:9" ht="28.5" customHeight="1">
      <c r="A20" s="112"/>
      <c r="B20" s="111"/>
      <c r="C20" s="111"/>
      <c r="D20" s="110"/>
      <c r="E20" s="48" t="s">
        <v>288</v>
      </c>
      <c r="F20" s="52" t="s">
        <v>512</v>
      </c>
      <c r="G20" s="33" t="s">
        <v>399</v>
      </c>
      <c r="H20" s="83" t="s">
        <v>513</v>
      </c>
      <c r="I20" s="84"/>
    </row>
    <row r="21" spans="1:9" ht="28.5" customHeight="1">
      <c r="A21" s="112"/>
      <c r="B21" s="111"/>
      <c r="C21" s="111"/>
      <c r="D21" s="110"/>
      <c r="E21" s="48" t="s">
        <v>277</v>
      </c>
      <c r="F21" s="52" t="s">
        <v>514</v>
      </c>
      <c r="G21" s="85" t="s">
        <v>515</v>
      </c>
      <c r="H21" s="60" t="s">
        <v>516</v>
      </c>
      <c r="I21" s="79"/>
    </row>
    <row r="22" spans="1:9" ht="43.5">
      <c r="A22" s="112"/>
      <c r="B22" s="111"/>
      <c r="C22" s="111"/>
      <c r="D22" s="110"/>
      <c r="E22" s="48" t="s">
        <v>268</v>
      </c>
      <c r="F22" s="52" t="s">
        <v>522</v>
      </c>
      <c r="G22" s="85" t="s">
        <v>399</v>
      </c>
      <c r="H22" s="60" t="s">
        <v>542</v>
      </c>
      <c r="I22" s="36"/>
    </row>
  </sheetData>
  <mergeCells count="6">
    <mergeCell ref="D10:D22"/>
    <mergeCell ref="C2:C22"/>
    <mergeCell ref="B2:B22"/>
    <mergeCell ref="A2:A22"/>
    <mergeCell ref="D2:D5"/>
    <mergeCell ref="D6:D9"/>
  </mergeCell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52D0D-8903-425E-99E6-485A27A7C668}">
  <dimension ref="A1:I23"/>
  <sheetViews>
    <sheetView workbookViewId="0">
      <selection activeCell="D10" sqref="D10:D14"/>
    </sheetView>
  </sheetViews>
  <sheetFormatPr defaultRowHeight="15"/>
  <cols>
    <col min="1" max="1" width="10.140625" customWidth="1"/>
    <col min="2" max="2" width="9.85546875" customWidth="1"/>
    <col min="3" max="3" width="10.5703125" customWidth="1"/>
    <col min="4" max="4" width="12.5703125" customWidth="1"/>
    <col min="6" max="6" width="56.5703125" customWidth="1"/>
    <col min="7" max="7" width="16.7109375" customWidth="1"/>
    <col min="8" max="8" width="82" customWidth="1"/>
    <col min="9" max="9" width="61.42578125" customWidth="1"/>
  </cols>
  <sheetData>
    <row r="1" spans="1:9" ht="30.75">
      <c r="A1" s="54" t="s">
        <v>450</v>
      </c>
      <c r="B1" s="55" t="s">
        <v>15</v>
      </c>
      <c r="C1" s="55" t="s">
        <v>451</v>
      </c>
      <c r="D1" s="54" t="s">
        <v>1</v>
      </c>
      <c r="E1" s="54" t="s">
        <v>266</v>
      </c>
      <c r="F1" s="54" t="s">
        <v>16</v>
      </c>
      <c r="G1" s="62" t="s">
        <v>17</v>
      </c>
      <c r="H1" s="49" t="s">
        <v>18</v>
      </c>
      <c r="I1" s="50" t="s">
        <v>19</v>
      </c>
    </row>
    <row r="2" spans="1:9" ht="30" customHeight="1">
      <c r="A2" s="112">
        <v>46181</v>
      </c>
      <c r="B2" s="111" t="s">
        <v>543</v>
      </c>
      <c r="C2" s="111" t="s">
        <v>375</v>
      </c>
      <c r="D2" s="113" t="s">
        <v>3</v>
      </c>
      <c r="E2" s="66" t="s">
        <v>355</v>
      </c>
      <c r="F2" s="52" t="s">
        <v>413</v>
      </c>
      <c r="G2" s="33" t="s">
        <v>399</v>
      </c>
      <c r="H2" s="60" t="s">
        <v>488</v>
      </c>
      <c r="I2" s="87" t="s">
        <v>544</v>
      </c>
    </row>
    <row r="3" spans="1:9" ht="30" customHeight="1">
      <c r="A3" s="112"/>
      <c r="B3" s="111"/>
      <c r="C3" s="111"/>
      <c r="D3" s="114"/>
      <c r="E3" s="66" t="s">
        <v>355</v>
      </c>
      <c r="F3" s="52" t="s">
        <v>398</v>
      </c>
      <c r="G3" s="33" t="s">
        <v>399</v>
      </c>
      <c r="H3" s="60" t="s">
        <v>526</v>
      </c>
      <c r="I3" s="87" t="s">
        <v>545</v>
      </c>
    </row>
    <row r="4" spans="1:9" ht="30" customHeight="1">
      <c r="A4" s="112"/>
      <c r="B4" s="111"/>
      <c r="C4" s="111"/>
      <c r="D4" s="114"/>
      <c r="E4" s="66" t="s">
        <v>268</v>
      </c>
      <c r="F4" s="52" t="s">
        <v>359</v>
      </c>
      <c r="G4" s="33" t="s">
        <v>294</v>
      </c>
      <c r="H4" s="60" t="s">
        <v>485</v>
      </c>
      <c r="I4" s="79" t="s">
        <v>546</v>
      </c>
    </row>
    <row r="5" spans="1:9" ht="30" customHeight="1">
      <c r="A5" s="112"/>
      <c r="B5" s="111"/>
      <c r="C5" s="111"/>
      <c r="D5" s="114"/>
      <c r="E5" s="66" t="s">
        <v>268</v>
      </c>
      <c r="F5" s="52" t="s">
        <v>431</v>
      </c>
      <c r="G5" s="33" t="s">
        <v>399</v>
      </c>
      <c r="H5" s="60" t="s">
        <v>526</v>
      </c>
      <c r="I5" s="79" t="s">
        <v>547</v>
      </c>
    </row>
    <row r="6" spans="1:9" ht="30" customHeight="1">
      <c r="A6" s="112"/>
      <c r="B6" s="111"/>
      <c r="C6" s="111"/>
      <c r="D6" s="114"/>
      <c r="E6" s="66" t="s">
        <v>268</v>
      </c>
      <c r="F6" s="52" t="s">
        <v>494</v>
      </c>
      <c r="G6" s="60" t="s">
        <v>294</v>
      </c>
      <c r="H6" s="60" t="s">
        <v>505</v>
      </c>
      <c r="I6" s="79" t="s">
        <v>548</v>
      </c>
    </row>
    <row r="7" spans="1:9" ht="30" customHeight="1">
      <c r="A7" s="112"/>
      <c r="B7" s="111"/>
      <c r="C7" s="111"/>
      <c r="D7" s="114"/>
      <c r="E7" s="66" t="s">
        <v>277</v>
      </c>
      <c r="F7" s="52" t="s">
        <v>502</v>
      </c>
      <c r="G7" s="33" t="s">
        <v>294</v>
      </c>
      <c r="H7" s="83" t="s">
        <v>315</v>
      </c>
      <c r="I7" s="79" t="s">
        <v>549</v>
      </c>
    </row>
    <row r="8" spans="1:9" ht="30" customHeight="1">
      <c r="A8" s="112"/>
      <c r="B8" s="111"/>
      <c r="C8" s="111"/>
      <c r="D8" s="114"/>
      <c r="E8" s="66" t="s">
        <v>277</v>
      </c>
      <c r="F8" s="52" t="s">
        <v>539</v>
      </c>
      <c r="G8" s="33" t="s">
        <v>201</v>
      </c>
      <c r="H8" s="83" t="s">
        <v>315</v>
      </c>
      <c r="I8" s="79" t="s">
        <v>550</v>
      </c>
    </row>
    <row r="9" spans="1:9" ht="30" customHeight="1">
      <c r="A9" s="112"/>
      <c r="B9" s="111"/>
      <c r="C9" s="111"/>
      <c r="D9" s="115"/>
      <c r="E9" s="66" t="s">
        <v>268</v>
      </c>
      <c r="F9" s="52" t="s">
        <v>540</v>
      </c>
      <c r="G9" s="85" t="s">
        <v>294</v>
      </c>
      <c r="H9" s="60" t="s">
        <v>541</v>
      </c>
      <c r="I9" s="79" t="s">
        <v>551</v>
      </c>
    </row>
    <row r="10" spans="1:9" ht="30" customHeight="1">
      <c r="A10" s="112"/>
      <c r="B10" s="111"/>
      <c r="C10" s="111"/>
      <c r="D10" s="113" t="s">
        <v>24</v>
      </c>
      <c r="E10" s="66" t="s">
        <v>355</v>
      </c>
      <c r="F10" s="52" t="s">
        <v>552</v>
      </c>
      <c r="G10" s="33" t="s">
        <v>377</v>
      </c>
      <c r="H10" s="60"/>
      <c r="I10" s="79"/>
    </row>
    <row r="11" spans="1:9" ht="30" customHeight="1">
      <c r="A11" s="112"/>
      <c r="B11" s="111"/>
      <c r="C11" s="111"/>
      <c r="D11" s="114"/>
      <c r="E11" s="66" t="s">
        <v>553</v>
      </c>
      <c r="F11" s="91" t="s">
        <v>554</v>
      </c>
      <c r="G11" s="85" t="s">
        <v>399</v>
      </c>
      <c r="H11" s="96" t="s">
        <v>430</v>
      </c>
      <c r="I11" s="36"/>
    </row>
    <row r="12" spans="1:9" ht="30" customHeight="1">
      <c r="A12" s="112"/>
      <c r="B12" s="111"/>
      <c r="C12" s="111"/>
      <c r="D12" s="114"/>
      <c r="E12" s="66" t="s">
        <v>553</v>
      </c>
      <c r="F12" s="93" t="s">
        <v>555</v>
      </c>
      <c r="G12" s="85" t="s">
        <v>399</v>
      </c>
      <c r="H12" s="99" t="s">
        <v>430</v>
      </c>
      <c r="I12" s="95"/>
    </row>
    <row r="13" spans="1:9" ht="30" customHeight="1">
      <c r="A13" s="112"/>
      <c r="B13" s="111"/>
      <c r="C13" s="111"/>
      <c r="D13" s="114"/>
      <c r="E13" s="66" t="s">
        <v>355</v>
      </c>
      <c r="F13" s="93" t="s">
        <v>556</v>
      </c>
      <c r="G13" s="85" t="s">
        <v>399</v>
      </c>
      <c r="H13" s="60" t="s">
        <v>315</v>
      </c>
      <c r="I13" s="92"/>
    </row>
    <row r="14" spans="1:9" ht="48.75" customHeight="1">
      <c r="A14" s="112"/>
      <c r="B14" s="111"/>
      <c r="C14" s="111"/>
      <c r="D14" s="115"/>
      <c r="E14" s="66" t="s">
        <v>268</v>
      </c>
      <c r="F14" s="93" t="s">
        <v>557</v>
      </c>
      <c r="G14" s="85" t="s">
        <v>515</v>
      </c>
      <c r="H14" s="60" t="s">
        <v>315</v>
      </c>
      <c r="I14" s="92"/>
    </row>
    <row r="15" spans="1:9" ht="30" customHeight="1">
      <c r="A15" s="112"/>
      <c r="B15" s="111"/>
      <c r="C15" s="111"/>
      <c r="D15" s="110" t="s">
        <v>371</v>
      </c>
      <c r="E15" s="90" t="s">
        <v>277</v>
      </c>
      <c r="F15" s="88" t="s">
        <v>335</v>
      </c>
      <c r="G15" s="94" t="s">
        <v>201</v>
      </c>
      <c r="H15" s="61" t="s">
        <v>483</v>
      </c>
      <c r="I15" s="97"/>
    </row>
    <row r="16" spans="1:9" ht="30" customHeight="1">
      <c r="A16" s="112"/>
      <c r="B16" s="111"/>
      <c r="C16" s="111"/>
      <c r="D16" s="110"/>
      <c r="E16" s="66" t="s">
        <v>355</v>
      </c>
      <c r="F16" s="52" t="s">
        <v>376</v>
      </c>
      <c r="G16" s="85" t="s">
        <v>377</v>
      </c>
      <c r="H16" s="60" t="s">
        <v>486</v>
      </c>
      <c r="I16" s="98"/>
    </row>
    <row r="17" spans="1:9" ht="30" customHeight="1">
      <c r="A17" s="112"/>
      <c r="B17" s="111"/>
      <c r="C17" s="111"/>
      <c r="D17" s="110"/>
      <c r="E17" s="66" t="s">
        <v>268</v>
      </c>
      <c r="F17" s="52" t="s">
        <v>456</v>
      </c>
      <c r="G17" s="85" t="s">
        <v>379</v>
      </c>
      <c r="H17" s="60" t="s">
        <v>489</v>
      </c>
      <c r="I17" s="89"/>
    </row>
    <row r="18" spans="1:9" ht="30" customHeight="1">
      <c r="A18" s="112"/>
      <c r="B18" s="111"/>
      <c r="C18" s="111"/>
      <c r="D18" s="110"/>
      <c r="E18" s="66" t="s">
        <v>288</v>
      </c>
      <c r="F18" s="52" t="s">
        <v>503</v>
      </c>
      <c r="G18" s="85" t="s">
        <v>399</v>
      </c>
      <c r="H18" s="100" t="s">
        <v>527</v>
      </c>
      <c r="I18" s="86"/>
    </row>
    <row r="19" spans="1:9" ht="30" customHeight="1">
      <c r="A19" s="112"/>
      <c r="B19" s="111"/>
      <c r="C19" s="111"/>
      <c r="D19" s="110"/>
      <c r="E19" s="66" t="s">
        <v>288</v>
      </c>
      <c r="F19" s="52" t="s">
        <v>512</v>
      </c>
      <c r="G19" s="33" t="s">
        <v>399</v>
      </c>
      <c r="H19" s="83" t="s">
        <v>513</v>
      </c>
      <c r="I19" s="84"/>
    </row>
    <row r="20" spans="1:9" ht="30" customHeight="1">
      <c r="A20" s="112"/>
      <c r="B20" s="111"/>
      <c r="C20" s="111"/>
      <c r="D20" s="110"/>
      <c r="E20" s="66" t="s">
        <v>277</v>
      </c>
      <c r="F20" s="52" t="s">
        <v>514</v>
      </c>
      <c r="G20" s="85" t="s">
        <v>515</v>
      </c>
      <c r="H20" s="60" t="s">
        <v>516</v>
      </c>
      <c r="I20" s="79"/>
    </row>
    <row r="21" spans="1:9" ht="30" customHeight="1">
      <c r="A21" s="112"/>
      <c r="B21" s="111"/>
      <c r="C21" s="111"/>
      <c r="D21" s="110"/>
      <c r="E21" s="66" t="s">
        <v>268</v>
      </c>
      <c r="F21" s="52" t="s">
        <v>522</v>
      </c>
      <c r="G21" s="85" t="s">
        <v>399</v>
      </c>
      <c r="H21" s="60" t="s">
        <v>542</v>
      </c>
      <c r="I21" s="36"/>
    </row>
    <row r="22" spans="1:9" ht="30" customHeight="1">
      <c r="A22" s="112"/>
      <c r="B22" s="111"/>
      <c r="C22" s="111"/>
      <c r="D22" s="110"/>
      <c r="E22" s="66" t="s">
        <v>277</v>
      </c>
      <c r="F22" s="52" t="s">
        <v>536</v>
      </c>
      <c r="G22" s="33" t="s">
        <v>399</v>
      </c>
      <c r="H22" s="83" t="s">
        <v>315</v>
      </c>
      <c r="I22" s="79"/>
    </row>
    <row r="23" spans="1:9" ht="29.25">
      <c r="A23" s="112"/>
      <c r="B23" s="111"/>
      <c r="C23" s="111"/>
      <c r="D23" s="110"/>
      <c r="E23" s="66" t="s">
        <v>277</v>
      </c>
      <c r="F23" s="52" t="s">
        <v>537</v>
      </c>
      <c r="G23" s="85" t="s">
        <v>538</v>
      </c>
      <c r="H23" s="60" t="s">
        <v>315</v>
      </c>
      <c r="I23" s="86"/>
    </row>
  </sheetData>
  <mergeCells count="6">
    <mergeCell ref="A2:A23"/>
    <mergeCell ref="D15:D23"/>
    <mergeCell ref="C2:C23"/>
    <mergeCell ref="B2:B23"/>
    <mergeCell ref="D2:D9"/>
    <mergeCell ref="D10:D14"/>
  </mergeCell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9FF40-BF28-4B24-ABB0-514381F953A6}">
  <dimension ref="A1:I18"/>
  <sheetViews>
    <sheetView topLeftCell="A11" workbookViewId="0">
      <selection activeCell="F8" sqref="F8"/>
    </sheetView>
  </sheetViews>
  <sheetFormatPr defaultRowHeight="15"/>
  <cols>
    <col min="2" max="2" width="11.42578125" customWidth="1"/>
    <col min="3" max="3" width="7.42578125" customWidth="1"/>
    <col min="4" max="4" width="13.85546875" customWidth="1"/>
    <col min="5" max="5" width="12" customWidth="1"/>
    <col min="6" max="6" width="53.28515625" customWidth="1"/>
    <col min="7" max="7" width="20.42578125" customWidth="1"/>
    <col min="8" max="8" width="75.5703125" customWidth="1"/>
    <col min="9" max="9" width="52.140625" customWidth="1"/>
  </cols>
  <sheetData>
    <row r="1" spans="1:9" ht="15.75">
      <c r="A1" s="54" t="s">
        <v>450</v>
      </c>
      <c r="B1" s="55" t="s">
        <v>15</v>
      </c>
      <c r="C1" s="55" t="s">
        <v>451</v>
      </c>
      <c r="D1" s="54" t="s">
        <v>1</v>
      </c>
      <c r="E1" s="54" t="s">
        <v>266</v>
      </c>
      <c r="F1" s="54" t="s">
        <v>16</v>
      </c>
      <c r="G1" s="62" t="s">
        <v>17</v>
      </c>
      <c r="H1" s="49" t="s">
        <v>18</v>
      </c>
      <c r="I1" s="50" t="s">
        <v>19</v>
      </c>
    </row>
    <row r="2" spans="1:9" ht="49.5" customHeight="1">
      <c r="A2" s="112">
        <v>46182</v>
      </c>
      <c r="B2" s="111" t="s">
        <v>558</v>
      </c>
      <c r="C2" s="111" t="s">
        <v>375</v>
      </c>
      <c r="D2" s="110" t="s">
        <v>3</v>
      </c>
      <c r="E2" s="48" t="s">
        <v>277</v>
      </c>
      <c r="F2" s="52" t="s">
        <v>559</v>
      </c>
      <c r="G2" s="33" t="s">
        <v>560</v>
      </c>
      <c r="H2" s="71" t="s">
        <v>561</v>
      </c>
      <c r="I2" s="87" t="s">
        <v>562</v>
      </c>
    </row>
    <row r="3" spans="1:9" ht="29.25" customHeight="1">
      <c r="A3" s="112"/>
      <c r="B3" s="111"/>
      <c r="C3" s="111"/>
      <c r="D3" s="110"/>
      <c r="E3" s="48" t="s">
        <v>553</v>
      </c>
      <c r="F3" s="105" t="s">
        <v>563</v>
      </c>
      <c r="G3" s="85" t="s">
        <v>243</v>
      </c>
      <c r="H3" s="106"/>
      <c r="I3" s="87" t="s">
        <v>564</v>
      </c>
    </row>
    <row r="4" spans="1:9" ht="30" customHeight="1">
      <c r="A4" s="112"/>
      <c r="B4" s="111"/>
      <c r="C4" s="111"/>
      <c r="D4" s="57" t="s">
        <v>24</v>
      </c>
      <c r="E4" s="48" t="s">
        <v>277</v>
      </c>
      <c r="F4" s="91" t="s">
        <v>565</v>
      </c>
      <c r="G4" s="60" t="s">
        <v>515</v>
      </c>
      <c r="H4" s="60" t="s">
        <v>566</v>
      </c>
      <c r="I4" s="79"/>
    </row>
    <row r="5" spans="1:9" ht="29.25" customHeight="1">
      <c r="A5" s="112"/>
      <c r="B5" s="111"/>
      <c r="C5" s="111"/>
      <c r="D5" s="110" t="s">
        <v>371</v>
      </c>
      <c r="E5" s="58" t="s">
        <v>277</v>
      </c>
      <c r="F5" s="88" t="s">
        <v>335</v>
      </c>
      <c r="G5" s="94" t="s">
        <v>201</v>
      </c>
      <c r="H5" s="107" t="s">
        <v>483</v>
      </c>
      <c r="I5" s="97"/>
    </row>
    <row r="6" spans="1:9" ht="29.25" customHeight="1">
      <c r="A6" s="112"/>
      <c r="B6" s="111"/>
      <c r="C6" s="111"/>
      <c r="D6" s="110"/>
      <c r="E6" s="48" t="s">
        <v>355</v>
      </c>
      <c r="F6" s="52" t="s">
        <v>376</v>
      </c>
      <c r="G6" s="85" t="s">
        <v>377</v>
      </c>
      <c r="H6" s="60" t="s">
        <v>486</v>
      </c>
      <c r="I6" s="98"/>
    </row>
    <row r="7" spans="1:9" ht="29.25" customHeight="1">
      <c r="A7" s="112"/>
      <c r="B7" s="111"/>
      <c r="C7" s="111"/>
      <c r="D7" s="110"/>
      <c r="E7" s="48" t="s">
        <v>268</v>
      </c>
      <c r="F7" s="52" t="s">
        <v>456</v>
      </c>
      <c r="G7" s="85" t="s">
        <v>379</v>
      </c>
      <c r="H7" s="60" t="s">
        <v>489</v>
      </c>
      <c r="I7" s="89"/>
    </row>
    <row r="8" spans="1:9" ht="29.25" customHeight="1">
      <c r="A8" s="112"/>
      <c r="B8" s="111"/>
      <c r="C8" s="111"/>
      <c r="D8" s="110"/>
      <c r="E8" s="48" t="s">
        <v>288</v>
      </c>
      <c r="F8" s="52" t="s">
        <v>503</v>
      </c>
      <c r="G8" s="85" t="s">
        <v>399</v>
      </c>
      <c r="H8" s="100" t="s">
        <v>527</v>
      </c>
      <c r="I8" s="86"/>
    </row>
    <row r="9" spans="1:9" ht="29.25" customHeight="1">
      <c r="A9" s="112"/>
      <c r="B9" s="111"/>
      <c r="C9" s="111"/>
      <c r="D9" s="110"/>
      <c r="E9" s="48" t="s">
        <v>288</v>
      </c>
      <c r="F9" s="52" t="s">
        <v>512</v>
      </c>
      <c r="G9" s="33" t="s">
        <v>399</v>
      </c>
      <c r="H9" s="83" t="s">
        <v>513</v>
      </c>
      <c r="I9" s="84"/>
    </row>
    <row r="10" spans="1:9" ht="29.25" customHeight="1">
      <c r="A10" s="112"/>
      <c r="B10" s="111"/>
      <c r="C10" s="111"/>
      <c r="D10" s="110"/>
      <c r="E10" s="48" t="s">
        <v>277</v>
      </c>
      <c r="F10" s="52" t="s">
        <v>514</v>
      </c>
      <c r="G10" s="85" t="s">
        <v>515</v>
      </c>
      <c r="H10" s="60" t="s">
        <v>516</v>
      </c>
      <c r="I10" s="79"/>
    </row>
    <row r="11" spans="1:9" ht="46.5" customHeight="1">
      <c r="A11" s="112"/>
      <c r="B11" s="111"/>
      <c r="C11" s="111"/>
      <c r="D11" s="110"/>
      <c r="E11" s="48" t="s">
        <v>268</v>
      </c>
      <c r="F11" s="52" t="s">
        <v>522</v>
      </c>
      <c r="G11" s="85" t="s">
        <v>399</v>
      </c>
      <c r="H11" s="60" t="s">
        <v>542</v>
      </c>
      <c r="I11" s="36"/>
    </row>
    <row r="12" spans="1:9" ht="29.25" customHeight="1">
      <c r="A12" s="112"/>
      <c r="B12" s="111"/>
      <c r="C12" s="111"/>
      <c r="D12" s="110"/>
      <c r="E12" s="48" t="s">
        <v>277</v>
      </c>
      <c r="F12" s="52" t="s">
        <v>536</v>
      </c>
      <c r="G12" s="33" t="s">
        <v>399</v>
      </c>
      <c r="H12" s="83" t="s">
        <v>567</v>
      </c>
      <c r="I12" s="79"/>
    </row>
    <row r="13" spans="1:9" ht="29.25" customHeight="1">
      <c r="A13" s="112"/>
      <c r="B13" s="111"/>
      <c r="C13" s="111"/>
      <c r="D13" s="110"/>
      <c r="E13" s="48" t="s">
        <v>277</v>
      </c>
      <c r="F13" s="52" t="s">
        <v>537</v>
      </c>
      <c r="G13" s="85" t="s">
        <v>538</v>
      </c>
      <c r="H13" s="60" t="s">
        <v>568</v>
      </c>
      <c r="I13" s="104"/>
    </row>
    <row r="14" spans="1:9" ht="29.25" customHeight="1">
      <c r="A14" s="112"/>
      <c r="B14" s="111"/>
      <c r="C14" s="111"/>
      <c r="D14" s="110"/>
      <c r="E14" s="48" t="s">
        <v>355</v>
      </c>
      <c r="F14" s="52" t="s">
        <v>552</v>
      </c>
      <c r="G14" s="33" t="s">
        <v>377</v>
      </c>
      <c r="H14" s="71" t="s">
        <v>315</v>
      </c>
      <c r="I14" s="36"/>
    </row>
    <row r="15" spans="1:9" ht="29.25">
      <c r="A15" s="112"/>
      <c r="B15" s="111"/>
      <c r="C15" s="111"/>
      <c r="D15" s="110"/>
      <c r="E15" s="48" t="s">
        <v>553</v>
      </c>
      <c r="F15" s="101" t="s">
        <v>554</v>
      </c>
      <c r="G15" s="85" t="s">
        <v>399</v>
      </c>
      <c r="H15" s="102" t="s">
        <v>430</v>
      </c>
      <c r="I15" s="36"/>
    </row>
    <row r="16" spans="1:9" ht="29.25">
      <c r="A16" s="112"/>
      <c r="B16" s="111"/>
      <c r="C16" s="111"/>
      <c r="D16" s="110"/>
      <c r="E16" s="48" t="s">
        <v>553</v>
      </c>
      <c r="F16" s="93" t="s">
        <v>555</v>
      </c>
      <c r="G16" s="85" t="s">
        <v>399</v>
      </c>
      <c r="H16" s="103" t="s">
        <v>430</v>
      </c>
      <c r="I16" s="36"/>
    </row>
    <row r="17" spans="1:9" ht="29.25">
      <c r="A17" s="112"/>
      <c r="B17" s="111"/>
      <c r="C17" s="111"/>
      <c r="D17" s="110"/>
      <c r="E17" s="48" t="s">
        <v>355</v>
      </c>
      <c r="F17" s="93" t="s">
        <v>556</v>
      </c>
      <c r="G17" s="85" t="s">
        <v>399</v>
      </c>
      <c r="H17" s="71" t="s">
        <v>315</v>
      </c>
      <c r="I17" s="36"/>
    </row>
    <row r="18" spans="1:9" ht="43.5">
      <c r="A18" s="112"/>
      <c r="B18" s="111"/>
      <c r="C18" s="111"/>
      <c r="D18" s="110"/>
      <c r="E18" s="48" t="s">
        <v>268</v>
      </c>
      <c r="F18" s="93" t="s">
        <v>557</v>
      </c>
      <c r="G18" s="85" t="s">
        <v>515</v>
      </c>
      <c r="H18" s="71" t="s">
        <v>315</v>
      </c>
      <c r="I18" s="36"/>
    </row>
  </sheetData>
  <mergeCells count="5">
    <mergeCell ref="A2:A18"/>
    <mergeCell ref="D2:D3"/>
    <mergeCell ref="D5:D18"/>
    <mergeCell ref="C2:C18"/>
    <mergeCell ref="B2:B18"/>
  </mergeCell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B993-9B58-45B6-B5EE-F3CBAFB64FCA}">
  <dimension ref="A1:I17"/>
  <sheetViews>
    <sheetView workbookViewId="0">
      <selection activeCell="F8" sqref="F8"/>
    </sheetView>
  </sheetViews>
  <sheetFormatPr defaultRowHeight="15"/>
  <cols>
    <col min="1" max="1" width="10.5703125" customWidth="1"/>
    <col min="2" max="2" width="11.140625" customWidth="1"/>
    <col min="3" max="3" width="11.42578125" customWidth="1"/>
    <col min="4" max="4" width="14.28515625" customWidth="1"/>
    <col min="5" max="5" width="9.85546875" customWidth="1"/>
    <col min="6" max="6" width="58" customWidth="1"/>
    <col min="7" max="7" width="15.140625" customWidth="1"/>
    <col min="8" max="9" width="60.85546875" customWidth="1"/>
  </cols>
  <sheetData>
    <row r="1" spans="1:9" ht="15.75">
      <c r="A1" s="54" t="s">
        <v>450</v>
      </c>
      <c r="B1" s="55" t="s">
        <v>15</v>
      </c>
      <c r="C1" s="55" t="s">
        <v>451</v>
      </c>
      <c r="D1" s="54" t="s">
        <v>1</v>
      </c>
      <c r="E1" s="54" t="s">
        <v>266</v>
      </c>
      <c r="F1" s="54" t="s">
        <v>16</v>
      </c>
      <c r="G1" s="62" t="s">
        <v>17</v>
      </c>
      <c r="H1" s="49" t="s">
        <v>18</v>
      </c>
      <c r="I1" s="50" t="s">
        <v>19</v>
      </c>
    </row>
    <row r="2" spans="1:9" ht="32.25" customHeight="1">
      <c r="A2" s="146">
        <v>46183</v>
      </c>
      <c r="B2" s="111" t="s">
        <v>569</v>
      </c>
      <c r="C2" s="147" t="s">
        <v>375</v>
      </c>
      <c r="D2" s="113" t="s">
        <v>3</v>
      </c>
      <c r="E2" s="66" t="s">
        <v>268</v>
      </c>
      <c r="F2" s="52" t="s">
        <v>522</v>
      </c>
      <c r="G2" s="85" t="s">
        <v>399</v>
      </c>
      <c r="H2" s="60" t="s">
        <v>542</v>
      </c>
      <c r="I2" s="87" t="s">
        <v>570</v>
      </c>
    </row>
    <row r="3" spans="1:9" ht="32.25" customHeight="1">
      <c r="A3" s="146"/>
      <c r="B3" s="111"/>
      <c r="C3" s="147"/>
      <c r="D3" s="114"/>
      <c r="E3" s="66" t="s">
        <v>288</v>
      </c>
      <c r="F3" s="52" t="s">
        <v>512</v>
      </c>
      <c r="G3" s="33" t="s">
        <v>399</v>
      </c>
      <c r="H3" s="83" t="s">
        <v>513</v>
      </c>
      <c r="I3" s="87" t="s">
        <v>571</v>
      </c>
    </row>
    <row r="4" spans="1:9" ht="32.25" customHeight="1">
      <c r="A4" s="146"/>
      <c r="B4" s="111"/>
      <c r="C4" s="147"/>
      <c r="D4" s="114"/>
      <c r="E4" s="66" t="s">
        <v>355</v>
      </c>
      <c r="F4" s="52" t="s">
        <v>552</v>
      </c>
      <c r="G4" s="33" t="s">
        <v>377</v>
      </c>
      <c r="H4" s="71" t="s">
        <v>315</v>
      </c>
      <c r="I4" s="87" t="s">
        <v>572</v>
      </c>
    </row>
    <row r="5" spans="1:9" ht="32.25" customHeight="1">
      <c r="A5" s="146"/>
      <c r="B5" s="111"/>
      <c r="C5" s="147"/>
      <c r="D5" s="114"/>
      <c r="E5" s="66" t="s">
        <v>355</v>
      </c>
      <c r="F5" s="93" t="s">
        <v>556</v>
      </c>
      <c r="G5" s="85" t="s">
        <v>399</v>
      </c>
      <c r="H5" s="71" t="s">
        <v>315</v>
      </c>
      <c r="I5" s="87" t="s">
        <v>573</v>
      </c>
    </row>
    <row r="6" spans="1:9" ht="32.25" customHeight="1">
      <c r="A6" s="146"/>
      <c r="B6" s="111"/>
      <c r="C6" s="147"/>
      <c r="D6" s="115"/>
      <c r="E6" s="66" t="s">
        <v>277</v>
      </c>
      <c r="F6" s="91" t="s">
        <v>565</v>
      </c>
      <c r="G6" s="60" t="s">
        <v>515</v>
      </c>
      <c r="H6" s="60" t="s">
        <v>566</v>
      </c>
      <c r="I6" s="87" t="s">
        <v>574</v>
      </c>
    </row>
    <row r="7" spans="1:9" ht="32.25" customHeight="1">
      <c r="A7" s="146"/>
      <c r="B7" s="111"/>
      <c r="C7" s="147"/>
      <c r="D7" s="56" t="s">
        <v>24</v>
      </c>
      <c r="E7" s="66" t="s">
        <v>288</v>
      </c>
      <c r="F7" s="41" t="s">
        <v>575</v>
      </c>
      <c r="G7" s="85" t="s">
        <v>329</v>
      </c>
      <c r="H7" s="60" t="s">
        <v>513</v>
      </c>
      <c r="I7" s="79"/>
    </row>
    <row r="8" spans="1:9" ht="32.25" customHeight="1">
      <c r="A8" s="146"/>
      <c r="B8" s="111"/>
      <c r="C8" s="147"/>
      <c r="D8" s="110" t="s">
        <v>371</v>
      </c>
      <c r="E8" s="90" t="s">
        <v>277</v>
      </c>
      <c r="F8" s="88" t="s">
        <v>335</v>
      </c>
      <c r="G8" s="94" t="s">
        <v>201</v>
      </c>
      <c r="H8" s="107" t="s">
        <v>483</v>
      </c>
      <c r="I8" s="97"/>
    </row>
    <row r="9" spans="1:9" ht="32.25" customHeight="1">
      <c r="A9" s="146"/>
      <c r="B9" s="111"/>
      <c r="C9" s="147"/>
      <c r="D9" s="110"/>
      <c r="E9" s="66" t="s">
        <v>355</v>
      </c>
      <c r="F9" s="52" t="s">
        <v>376</v>
      </c>
      <c r="G9" s="85" t="s">
        <v>377</v>
      </c>
      <c r="H9" s="60" t="s">
        <v>486</v>
      </c>
      <c r="I9" s="98"/>
    </row>
    <row r="10" spans="1:9" ht="32.25" customHeight="1">
      <c r="A10" s="146"/>
      <c r="B10" s="111"/>
      <c r="C10" s="147"/>
      <c r="D10" s="110"/>
      <c r="E10" s="66" t="s">
        <v>268</v>
      </c>
      <c r="F10" s="52" t="s">
        <v>456</v>
      </c>
      <c r="G10" s="85" t="s">
        <v>379</v>
      </c>
      <c r="H10" s="60" t="s">
        <v>489</v>
      </c>
      <c r="I10" s="89"/>
    </row>
    <row r="11" spans="1:9" ht="32.25" customHeight="1">
      <c r="A11" s="146"/>
      <c r="B11" s="111"/>
      <c r="C11" s="147"/>
      <c r="D11" s="110"/>
      <c r="E11" s="66" t="s">
        <v>288</v>
      </c>
      <c r="F11" s="52" t="s">
        <v>503</v>
      </c>
      <c r="G11" s="85" t="s">
        <v>399</v>
      </c>
      <c r="H11" s="100" t="s">
        <v>527</v>
      </c>
      <c r="I11" s="86"/>
    </row>
    <row r="12" spans="1:9" ht="32.25" customHeight="1">
      <c r="A12" s="146"/>
      <c r="B12" s="111"/>
      <c r="C12" s="147"/>
      <c r="D12" s="110"/>
      <c r="E12" s="66" t="s">
        <v>277</v>
      </c>
      <c r="F12" s="52" t="s">
        <v>514</v>
      </c>
      <c r="G12" s="85" t="s">
        <v>515</v>
      </c>
      <c r="H12" s="60" t="s">
        <v>516</v>
      </c>
      <c r="I12" s="79"/>
    </row>
    <row r="13" spans="1:9" ht="32.25" customHeight="1">
      <c r="A13" s="146"/>
      <c r="B13" s="111"/>
      <c r="C13" s="147"/>
      <c r="D13" s="110"/>
      <c r="E13" s="66" t="s">
        <v>277</v>
      </c>
      <c r="F13" s="52" t="s">
        <v>536</v>
      </c>
      <c r="G13" s="33" t="s">
        <v>399</v>
      </c>
      <c r="H13" s="83" t="s">
        <v>567</v>
      </c>
      <c r="I13" s="79"/>
    </row>
    <row r="14" spans="1:9" ht="32.25" customHeight="1">
      <c r="A14" s="146"/>
      <c r="B14" s="111"/>
      <c r="C14" s="147"/>
      <c r="D14" s="110"/>
      <c r="E14" s="66" t="s">
        <v>277</v>
      </c>
      <c r="F14" s="52" t="s">
        <v>537</v>
      </c>
      <c r="G14" s="85" t="s">
        <v>538</v>
      </c>
      <c r="H14" s="60" t="s">
        <v>568</v>
      </c>
      <c r="I14" s="104"/>
    </row>
    <row r="15" spans="1:9" ht="32.25" customHeight="1">
      <c r="A15" s="146"/>
      <c r="B15" s="111"/>
      <c r="C15" s="147"/>
      <c r="D15" s="110"/>
      <c r="E15" s="66" t="s">
        <v>553</v>
      </c>
      <c r="F15" s="101" t="s">
        <v>554</v>
      </c>
      <c r="G15" s="85" t="s">
        <v>399</v>
      </c>
      <c r="H15" s="102" t="s">
        <v>430</v>
      </c>
      <c r="I15" s="36"/>
    </row>
    <row r="16" spans="1:9" ht="32.25" customHeight="1">
      <c r="A16" s="146"/>
      <c r="B16" s="111"/>
      <c r="C16" s="147"/>
      <c r="D16" s="110"/>
      <c r="E16" s="66" t="s">
        <v>553</v>
      </c>
      <c r="F16" s="93" t="s">
        <v>555</v>
      </c>
      <c r="G16" s="85" t="s">
        <v>399</v>
      </c>
      <c r="H16" s="103" t="s">
        <v>430</v>
      </c>
      <c r="I16" s="36"/>
    </row>
    <row r="17" spans="1:9" ht="32.25" customHeight="1">
      <c r="A17" s="146"/>
      <c r="B17" s="111"/>
      <c r="C17" s="147"/>
      <c r="D17" s="110"/>
      <c r="E17" s="66" t="s">
        <v>268</v>
      </c>
      <c r="F17" s="93" t="s">
        <v>557</v>
      </c>
      <c r="G17" s="85" t="s">
        <v>515</v>
      </c>
      <c r="H17" s="71" t="s">
        <v>315</v>
      </c>
      <c r="I17" s="36"/>
    </row>
  </sheetData>
  <mergeCells count="5">
    <mergeCell ref="A2:A17"/>
    <mergeCell ref="D2:D6"/>
    <mergeCell ref="D8:D17"/>
    <mergeCell ref="C2:C17"/>
    <mergeCell ref="B2:B17"/>
  </mergeCell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66ACE-C7EA-4BBD-9FE8-B9EDC399826D}">
  <dimension ref="A1:I14"/>
  <sheetViews>
    <sheetView workbookViewId="0">
      <selection activeCell="F4" sqref="F4"/>
    </sheetView>
  </sheetViews>
  <sheetFormatPr defaultRowHeight="15"/>
  <cols>
    <col min="1" max="1" width="9.42578125" customWidth="1"/>
    <col min="2" max="2" width="10.7109375" customWidth="1"/>
    <col min="3" max="3" width="8.7109375" customWidth="1"/>
    <col min="4" max="4" width="12.28515625" customWidth="1"/>
    <col min="5" max="5" width="11.7109375" customWidth="1"/>
    <col min="6" max="6" width="58.140625" customWidth="1"/>
    <col min="7" max="7" width="17" customWidth="1"/>
    <col min="8" max="8" width="70.5703125" customWidth="1"/>
    <col min="9" max="9" width="63.28515625" customWidth="1"/>
  </cols>
  <sheetData>
    <row r="1" spans="1:9" ht="30.75">
      <c r="A1" s="54" t="s">
        <v>450</v>
      </c>
      <c r="B1" s="55" t="s">
        <v>15</v>
      </c>
      <c r="C1" s="55" t="s">
        <v>451</v>
      </c>
      <c r="D1" s="54" t="s">
        <v>1</v>
      </c>
      <c r="E1" s="54" t="s">
        <v>266</v>
      </c>
      <c r="F1" s="54" t="s">
        <v>16</v>
      </c>
      <c r="G1" s="62" t="s">
        <v>17</v>
      </c>
      <c r="H1" s="49" t="s">
        <v>18</v>
      </c>
      <c r="I1" s="50" t="s">
        <v>19</v>
      </c>
    </row>
    <row r="2" spans="1:9" ht="29.25" customHeight="1">
      <c r="A2" s="112">
        <v>46184</v>
      </c>
      <c r="B2" s="111" t="s">
        <v>576</v>
      </c>
      <c r="C2" s="111" t="s">
        <v>375</v>
      </c>
      <c r="D2" s="113" t="s">
        <v>3</v>
      </c>
      <c r="E2" s="48" t="s">
        <v>268</v>
      </c>
      <c r="F2" s="41" t="s">
        <v>456</v>
      </c>
      <c r="G2" s="85" t="s">
        <v>379</v>
      </c>
      <c r="H2" s="60" t="s">
        <v>489</v>
      </c>
      <c r="I2" s="87" t="s">
        <v>577</v>
      </c>
    </row>
    <row r="3" spans="1:9" ht="24" customHeight="1">
      <c r="A3" s="112"/>
      <c r="B3" s="111"/>
      <c r="C3" s="111"/>
      <c r="D3" s="114"/>
      <c r="E3" s="48" t="s">
        <v>277</v>
      </c>
      <c r="F3" s="41" t="s">
        <v>537</v>
      </c>
      <c r="G3" s="85" t="s">
        <v>538</v>
      </c>
      <c r="H3" s="60" t="s">
        <v>568</v>
      </c>
      <c r="I3" s="87" t="s">
        <v>578</v>
      </c>
    </row>
    <row r="4" spans="1:9" ht="24" customHeight="1">
      <c r="A4" s="112"/>
      <c r="B4" s="111"/>
      <c r="C4" s="111"/>
      <c r="D4" s="114"/>
      <c r="E4" s="48" t="s">
        <v>288</v>
      </c>
      <c r="F4" s="41" t="s">
        <v>579</v>
      </c>
      <c r="G4" s="85" t="s">
        <v>194</v>
      </c>
      <c r="H4" s="60"/>
      <c r="I4" s="87" t="s">
        <v>580</v>
      </c>
    </row>
    <row r="5" spans="1:9" ht="27.75" customHeight="1">
      <c r="A5" s="112"/>
      <c r="B5" s="111"/>
      <c r="C5" s="111"/>
      <c r="D5" s="56" t="s">
        <v>24</v>
      </c>
      <c r="E5" s="48" t="s">
        <v>268</v>
      </c>
      <c r="F5" s="41" t="s">
        <v>581</v>
      </c>
      <c r="G5" s="85" t="s">
        <v>194</v>
      </c>
      <c r="H5" s="71" t="s">
        <v>315</v>
      </c>
      <c r="I5" s="79"/>
    </row>
    <row r="6" spans="1:9" ht="29.25" customHeight="1">
      <c r="A6" s="112"/>
      <c r="B6" s="111"/>
      <c r="C6" s="111"/>
      <c r="D6" s="110" t="s">
        <v>371</v>
      </c>
      <c r="E6" s="48" t="s">
        <v>277</v>
      </c>
      <c r="F6" s="41" t="s">
        <v>335</v>
      </c>
      <c r="G6" s="94" t="s">
        <v>201</v>
      </c>
      <c r="H6" s="107" t="s">
        <v>483</v>
      </c>
      <c r="I6" s="97"/>
    </row>
    <row r="7" spans="1:9" ht="29.25" customHeight="1">
      <c r="A7" s="112"/>
      <c r="B7" s="111"/>
      <c r="C7" s="111"/>
      <c r="D7" s="110"/>
      <c r="E7" s="48" t="s">
        <v>355</v>
      </c>
      <c r="F7" s="41" t="s">
        <v>376</v>
      </c>
      <c r="G7" s="85" t="s">
        <v>377</v>
      </c>
      <c r="H7" s="60" t="s">
        <v>486</v>
      </c>
      <c r="I7" s="98"/>
    </row>
    <row r="8" spans="1:9" ht="29.25" customHeight="1">
      <c r="A8" s="112"/>
      <c r="B8" s="111"/>
      <c r="C8" s="111"/>
      <c r="D8" s="110"/>
      <c r="E8" s="48" t="s">
        <v>288</v>
      </c>
      <c r="F8" s="41" t="s">
        <v>503</v>
      </c>
      <c r="G8" s="85" t="s">
        <v>399</v>
      </c>
      <c r="H8" s="100" t="s">
        <v>527</v>
      </c>
      <c r="I8" s="86"/>
    </row>
    <row r="9" spans="1:9" ht="29.25" customHeight="1">
      <c r="A9" s="112"/>
      <c r="B9" s="111"/>
      <c r="C9" s="111"/>
      <c r="D9" s="110"/>
      <c r="E9" s="48" t="s">
        <v>277</v>
      </c>
      <c r="F9" s="41" t="s">
        <v>514</v>
      </c>
      <c r="G9" s="85" t="s">
        <v>515</v>
      </c>
      <c r="H9" s="60" t="s">
        <v>516</v>
      </c>
      <c r="I9" s="79"/>
    </row>
    <row r="10" spans="1:9" ht="29.25" customHeight="1">
      <c r="A10" s="112"/>
      <c r="B10" s="111"/>
      <c r="C10" s="111"/>
      <c r="D10" s="110"/>
      <c r="E10" s="48" t="s">
        <v>277</v>
      </c>
      <c r="F10" s="41" t="s">
        <v>536</v>
      </c>
      <c r="G10" s="33" t="s">
        <v>399</v>
      </c>
      <c r="H10" s="83" t="s">
        <v>567</v>
      </c>
      <c r="I10" s="79"/>
    </row>
    <row r="11" spans="1:9" ht="29.25" customHeight="1">
      <c r="A11" s="112"/>
      <c r="B11" s="111"/>
      <c r="C11" s="111"/>
      <c r="D11" s="110"/>
      <c r="E11" s="48" t="s">
        <v>553</v>
      </c>
      <c r="F11" s="91" t="s">
        <v>554</v>
      </c>
      <c r="G11" s="85" t="s">
        <v>399</v>
      </c>
      <c r="H11" s="102" t="s">
        <v>430</v>
      </c>
      <c r="I11" s="36"/>
    </row>
    <row r="12" spans="1:9" ht="29.25" customHeight="1">
      <c r="A12" s="112"/>
      <c r="B12" s="111"/>
      <c r="C12" s="111"/>
      <c r="D12" s="110"/>
      <c r="E12" s="48" t="s">
        <v>553</v>
      </c>
      <c r="F12" s="91" t="s">
        <v>555</v>
      </c>
      <c r="G12" s="85" t="s">
        <v>399</v>
      </c>
      <c r="H12" s="103" t="s">
        <v>430</v>
      </c>
      <c r="I12" s="36"/>
    </row>
    <row r="13" spans="1:9" ht="29.25" customHeight="1">
      <c r="A13" s="112"/>
      <c r="B13" s="111"/>
      <c r="C13" s="111"/>
      <c r="D13" s="110"/>
      <c r="E13" s="48" t="s">
        <v>268</v>
      </c>
      <c r="F13" s="108" t="s">
        <v>557</v>
      </c>
      <c r="G13" s="85" t="s">
        <v>515</v>
      </c>
      <c r="H13" s="71" t="s">
        <v>315</v>
      </c>
      <c r="I13" s="51"/>
    </row>
    <row r="14" spans="1:9" ht="29.25" customHeight="1">
      <c r="A14" s="112"/>
      <c r="B14" s="111"/>
      <c r="C14" s="111"/>
      <c r="D14" s="110"/>
      <c r="E14" s="48" t="s">
        <v>288</v>
      </c>
      <c r="F14" s="41" t="s">
        <v>575</v>
      </c>
      <c r="G14" s="85" t="s">
        <v>329</v>
      </c>
      <c r="H14" s="71" t="s">
        <v>513</v>
      </c>
      <c r="I14" s="36"/>
    </row>
  </sheetData>
  <mergeCells count="5">
    <mergeCell ref="A2:A14"/>
    <mergeCell ref="D6:D14"/>
    <mergeCell ref="C2:C14"/>
    <mergeCell ref="B2:B14"/>
    <mergeCell ref="D2:D4"/>
  </mergeCell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D1BFD-003A-412A-82EF-675AFBD739FC}">
  <dimension ref="A1:I12"/>
  <sheetViews>
    <sheetView tabSelected="1" workbookViewId="0">
      <selection activeCell="F5" sqref="F5"/>
    </sheetView>
  </sheetViews>
  <sheetFormatPr defaultRowHeight="15"/>
  <cols>
    <col min="1" max="1" width="10.140625" bestFit="1" customWidth="1"/>
    <col min="2" max="2" width="9.85546875" customWidth="1"/>
    <col min="4" max="4" width="14.42578125" customWidth="1"/>
    <col min="5" max="5" width="11.28515625" customWidth="1"/>
    <col min="6" max="6" width="68.7109375" customWidth="1"/>
    <col min="7" max="7" width="22.42578125" customWidth="1"/>
    <col min="8" max="8" width="69.7109375" customWidth="1"/>
    <col min="9" max="9" width="49.5703125" customWidth="1"/>
  </cols>
  <sheetData>
    <row r="1" spans="1:9" ht="30.75">
      <c r="A1" s="54" t="s">
        <v>450</v>
      </c>
      <c r="B1" s="55" t="s">
        <v>15</v>
      </c>
      <c r="C1" s="55" t="s">
        <v>451</v>
      </c>
      <c r="D1" s="54" t="s">
        <v>1</v>
      </c>
      <c r="E1" s="54" t="s">
        <v>266</v>
      </c>
      <c r="F1" s="54" t="s">
        <v>16</v>
      </c>
      <c r="G1" s="62" t="s">
        <v>17</v>
      </c>
      <c r="H1" s="49" t="s">
        <v>18</v>
      </c>
      <c r="I1" s="50" t="s">
        <v>19</v>
      </c>
    </row>
    <row r="2" spans="1:9" ht="30" customHeight="1">
      <c r="A2" s="112">
        <v>46185</v>
      </c>
      <c r="B2" s="111" t="s">
        <v>582</v>
      </c>
      <c r="C2" s="111" t="s">
        <v>375</v>
      </c>
      <c r="D2" s="113" t="s">
        <v>3</v>
      </c>
      <c r="E2" s="48" t="s">
        <v>553</v>
      </c>
      <c r="F2" s="101" t="s">
        <v>555</v>
      </c>
      <c r="G2" s="85" t="s">
        <v>399</v>
      </c>
      <c r="H2" s="103" t="s">
        <v>430</v>
      </c>
      <c r="I2" s="87" t="s">
        <v>583</v>
      </c>
    </row>
    <row r="3" spans="1:9" ht="30" customHeight="1">
      <c r="A3" s="112"/>
      <c r="B3" s="111"/>
      <c r="C3" s="111"/>
      <c r="D3" s="114"/>
      <c r="E3" s="48" t="s">
        <v>288</v>
      </c>
      <c r="F3" s="52" t="s">
        <v>575</v>
      </c>
      <c r="G3" s="85" t="s">
        <v>329</v>
      </c>
      <c r="H3" s="71" t="s">
        <v>513</v>
      </c>
      <c r="I3" s="87" t="s">
        <v>584</v>
      </c>
    </row>
    <row r="4" spans="1:9" ht="30" customHeight="1">
      <c r="A4" s="112"/>
      <c r="B4" s="111"/>
      <c r="C4" s="111"/>
      <c r="D4" s="114"/>
      <c r="E4" s="48" t="s">
        <v>268</v>
      </c>
      <c r="F4" s="52" t="s">
        <v>581</v>
      </c>
      <c r="G4" s="85" t="s">
        <v>194</v>
      </c>
      <c r="H4" s="71" t="s">
        <v>315</v>
      </c>
      <c r="I4" s="87" t="s">
        <v>585</v>
      </c>
    </row>
    <row r="5" spans="1:9" ht="30" customHeight="1">
      <c r="A5" s="112"/>
      <c r="B5" s="111"/>
      <c r="C5" s="111"/>
      <c r="D5" s="115"/>
      <c r="E5" s="48" t="s">
        <v>553</v>
      </c>
      <c r="F5" s="101" t="s">
        <v>554</v>
      </c>
      <c r="G5" s="85" t="s">
        <v>399</v>
      </c>
      <c r="H5" s="102" t="s">
        <v>430</v>
      </c>
      <c r="I5" s="87" t="s">
        <v>586</v>
      </c>
    </row>
    <row r="6" spans="1:9" ht="41.25" customHeight="1">
      <c r="A6" s="112"/>
      <c r="B6" s="111"/>
      <c r="C6" s="111"/>
      <c r="D6" s="56" t="s">
        <v>24</v>
      </c>
      <c r="E6" s="48"/>
      <c r="F6" s="52"/>
      <c r="G6" s="85"/>
      <c r="H6" s="71"/>
      <c r="I6" s="79"/>
    </row>
    <row r="7" spans="1:9" ht="41.25" customHeight="1">
      <c r="A7" s="112"/>
      <c r="B7" s="111"/>
      <c r="C7" s="111"/>
      <c r="D7" s="110" t="s">
        <v>371</v>
      </c>
      <c r="E7" s="48" t="s">
        <v>277</v>
      </c>
      <c r="F7" s="52" t="s">
        <v>335</v>
      </c>
      <c r="G7" s="94" t="s">
        <v>201</v>
      </c>
      <c r="H7" s="107" t="s">
        <v>483</v>
      </c>
      <c r="I7" s="97"/>
    </row>
    <row r="8" spans="1:9" ht="41.25" customHeight="1">
      <c r="A8" s="112"/>
      <c r="B8" s="111"/>
      <c r="C8" s="111"/>
      <c r="D8" s="110"/>
      <c r="E8" s="48" t="s">
        <v>355</v>
      </c>
      <c r="F8" s="52" t="s">
        <v>376</v>
      </c>
      <c r="G8" s="85" t="s">
        <v>377</v>
      </c>
      <c r="H8" s="60" t="s">
        <v>486</v>
      </c>
      <c r="I8" s="98"/>
    </row>
    <row r="9" spans="1:9" ht="41.25" customHeight="1">
      <c r="A9" s="112"/>
      <c r="B9" s="111"/>
      <c r="C9" s="111"/>
      <c r="D9" s="110"/>
      <c r="E9" s="48" t="s">
        <v>288</v>
      </c>
      <c r="F9" s="52" t="s">
        <v>503</v>
      </c>
      <c r="G9" s="85" t="s">
        <v>399</v>
      </c>
      <c r="H9" s="100" t="s">
        <v>527</v>
      </c>
      <c r="I9" s="86"/>
    </row>
    <row r="10" spans="1:9" ht="41.25" customHeight="1">
      <c r="A10" s="112"/>
      <c r="B10" s="111"/>
      <c r="C10" s="111"/>
      <c r="D10" s="110"/>
      <c r="E10" s="48" t="s">
        <v>277</v>
      </c>
      <c r="F10" s="52" t="s">
        <v>514</v>
      </c>
      <c r="G10" s="85" t="s">
        <v>515</v>
      </c>
      <c r="H10" s="60" t="s">
        <v>516</v>
      </c>
      <c r="I10" s="79"/>
    </row>
    <row r="11" spans="1:9" ht="41.25" customHeight="1">
      <c r="A11" s="112"/>
      <c r="B11" s="111"/>
      <c r="C11" s="111"/>
      <c r="D11" s="110"/>
      <c r="E11" s="48" t="s">
        <v>277</v>
      </c>
      <c r="F11" s="52" t="s">
        <v>536</v>
      </c>
      <c r="G11" s="33" t="s">
        <v>399</v>
      </c>
      <c r="H11" s="83" t="s">
        <v>567</v>
      </c>
      <c r="I11" s="84"/>
    </row>
    <row r="12" spans="1:9" ht="41.25" customHeight="1">
      <c r="A12" s="112"/>
      <c r="B12" s="111"/>
      <c r="C12" s="111"/>
      <c r="D12" s="110"/>
      <c r="E12" s="48" t="s">
        <v>268</v>
      </c>
      <c r="F12" s="109" t="s">
        <v>557</v>
      </c>
      <c r="G12" s="85" t="s">
        <v>515</v>
      </c>
      <c r="H12" s="71" t="s">
        <v>587</v>
      </c>
      <c r="I12" s="36"/>
    </row>
  </sheetData>
  <mergeCells count="5">
    <mergeCell ref="D7:D12"/>
    <mergeCell ref="C2:C12"/>
    <mergeCell ref="B2:B12"/>
    <mergeCell ref="A2:A12"/>
    <mergeCell ref="D2:D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Khulan Otgonbaatar</dc:creator>
  <cp:keywords/>
  <dc:description/>
  <cp:lastModifiedBy/>
  <cp:revision/>
  <dcterms:created xsi:type="dcterms:W3CDTF">2026-03-11T07:52:59Z</dcterms:created>
  <dcterms:modified xsi:type="dcterms:W3CDTF">2026-06-12T07:09:32Z</dcterms:modified>
  <cp:category/>
  <cp:contentStatus/>
</cp:coreProperties>
</file>